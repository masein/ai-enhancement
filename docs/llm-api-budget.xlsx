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teps" sheetId="2" state="visible" r:id="rId4"/>
    <sheet name="Glossary" sheetId="3" state="visible" r:id="rId5"/>
    <sheet name="Prices" sheetId="4" state="visible" r:id="rId6"/>
    <sheet name="Assumptions" sheetId="5" state="visible" r:id="rId7"/>
    <sheet name="Volume" sheetId="6" state="visible" r:id="rId8"/>
    <sheet name="Per cycle" sheetId="7" state="visible" r:id="rId9"/>
    <sheet name="Run rate" sheetId="8" state="visible" r:id="rId10"/>
    <sheet name="Scenari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<sst xmlns="http://schemas.openxmlformats.org/spreadsheetml/2006/main" count="343" uniqueCount="274">
  <si>
    <t xml:space="preserve">LLM API budget — the exam / judge / generate / fine-tune loop</t>
  </si>
  <si>
    <t xml:space="preserve">SHEETS, IN READING ORDER</t>
  </si>
  <si>
    <t xml:space="preserve">  Steps        the loop, and which steps cost API money</t>
  </si>
  <si>
    <t xml:space="preserve">  Glossary     what each counted thing is — read before the numbers</t>
  </si>
  <si>
    <t xml:space="preserve">  Prices       provider rates, transcribed 2026-09-18, with sources</t>
  </si>
  <si>
    <t xml:space="preserve">  Assumptions  our workload. The only cells you normally change</t>
  </si>
  <si>
    <t xml:space="preserve">  Volume       tokens per cycle, all formulas</t>
  </si>
  <si>
    <t xml:space="preserve">  Per cycle    THE ANSWER: cost of one trip round the loop</t>
  </si>
  <si>
    <t xml:space="preserve">  Run rate     the same x a monthly cadence, if you want it</t>
  </si>
  <si>
    <t xml:space="preserve">  Scenarios    how the bill moves with how much training text you generate</t>
  </si>
  <si>
    <t xml:space="preserve">COLOUR</t>
  </si>
  <si>
    <t xml:space="preserve">  Blue text   a hardcoded input        Black text  a formula</t>
  </si>
  <si>
    <t xml:space="preserve">  Green text  a link to another sheet  Yellow fill a cell you are meant to change</t>
  </si>
  <si>
    <t xml:space="preserve">THE SHORT VERSION</t>
  </si>
  <si>
    <t xml:space="preserve">  Writing the exam is paid once. After that a cycle costs two things: grading the answers, and</t>
  </si>
  <si>
    <t xml:space="preserve">  generating the training documents. Sitting the exam and fine-tuning are free — our own GPU.</t>
  </si>
  <si>
    <t xml:space="preserve">  The standard benchmarks keep running alongside and cost nothing in API, forever.</t>
  </si>
  <si>
    <t xml:space="preserve">  If a total surprises you, the lever is 'Training documents per topic', not the model choice.</t>
  </si>
  <si>
    <t xml:space="preserve">NOT IN HERE</t>
  </si>
  <si>
    <t xml:space="preserve">  GPU time for training, benchmarking, and sitting the exam — our own hardware.</t>
  </si>
  <si>
    <t xml:space="preserve">  Prompt caching, which stacks with batch and would only reduce these numbers.</t>
  </si>
  <si>
    <t xml:space="preserve">  Human time, which is the real limit on how many cycles you can actually run.</t>
  </si>
  <si>
    <t xml:space="preserve">The loop</t>
  </si>
  <si>
    <t xml:space="preserve">Step 0 happens once, up front. Steps 1-5 are the cycle: it ends where it began, with a better checkpoint sitting the same exam. Yellow rows are inside the cycle; green means no API cost.</t>
  </si>
  <si>
    <t xml:space="preserve">#</t>
  </si>
  <si>
    <t xml:space="preserve">Step</t>
  </si>
  <si>
    <t xml:space="preserve">Who does it</t>
  </si>
  <si>
    <t xml:space="preserve">What goes in</t>
  </si>
  <si>
    <t xml:space="preserve">What comes out</t>
  </si>
  <si>
    <t xml:space="preserve">API cost?</t>
  </si>
  <si>
    <t xml:space="preserve">Write the exam</t>
  </si>
  <si>
    <t xml:space="preserve">an LLM, via API</t>
  </si>
  <si>
    <t xml:space="preserve">a topic brief + rubric + example questions</t>
  </si>
  <si>
    <t xml:space="preserve">the exam question bank: questions across every topic, each with a reference answer</t>
  </si>
  <si>
    <t xml:space="preserve">YES — up front</t>
  </si>
  <si>
    <t xml:space="preserve">Sit the exam</t>
  </si>
  <si>
    <t xml:space="preserve">the checkpoint, on our RTX 5090</t>
  </si>
  <si>
    <t xml:space="preserve">the exam questions</t>
  </si>
  <si>
    <t xml:space="preserve">answer scripts — what the model wrote, with its explanation</t>
  </si>
  <si>
    <t xml:space="preserve">No — $0</t>
  </si>
  <si>
    <t xml:space="preserve">Judge the answers</t>
  </si>
  <si>
    <t xml:space="preserve">each answer script + the rubric</t>
  </si>
  <si>
    <t xml:space="preserve">a score per topic, and written evaluation of what went wrong</t>
  </si>
  <si>
    <t xml:space="preserve">YES — cost 1 of 2</t>
  </si>
  <si>
    <t xml:space="preserve">Choose the topic to improve</t>
  </si>
  <si>
    <t xml:space="preserve">a human, reading the dashboard</t>
  </si>
  <si>
    <t xml:space="preserve">the per-topic scores and the judge's written evaluation</t>
  </si>
  <si>
    <t xml:space="preserve">one topic picked, and a skill spec naming what is missing</t>
  </si>
  <si>
    <t xml:space="preserve">tiny — a summarising call</t>
  </si>
  <si>
    <t xml:space="preserve">Generate the dataset</t>
  </si>
  <si>
    <t xml:space="preserve">the approved skill spec, and nothing else</t>
  </si>
  <si>
    <t xml:space="preserve">training documents — prose passages teaching that topic</t>
  </si>
  <si>
    <t xml:space="preserve">YES — cost 2 of 2</t>
  </si>
  <si>
    <t xml:space="preserve">Fine-tune and resubmit</t>
  </si>
  <si>
    <t xml:space="preserve">whoever owns the training run</t>
  </si>
  <si>
    <t xml:space="preserve">the generated documents, mixed into training</t>
  </si>
  <si>
    <t xml:space="preserve">a new checkpoint, submitted to the board</t>
  </si>
  <si>
    <t xml:space="preserve">↻</t>
  </si>
  <si>
    <t xml:space="preserve">back to step 1 — sit the same exam again</t>
  </si>
  <si>
    <t xml:space="preserve">the before/after that says whether it worked</t>
  </si>
  <si>
    <t xml:space="preserve">WHAT ALSO RUNS, BUT IS NOT PART OF THIS LOOP:</t>
  </si>
  <si>
    <t xml:space="preserve">  The standard benchmarks (MMLU, HellaSwag, ARC...) still run on every submission and still cost $0 in API —</t>
  </si>
  <si>
    <t xml:space="preserve">  they are scored by loglikelihood on our own GPU. They stay on the board as the comparable, public-protocol</t>
  </si>
  <si>
    <t xml:space="preserve">  number. scripts/diagnose.py still explains them for free. But they do not drive this loop: the exam does.</t>
  </si>
  <si>
    <t xml:space="preserve">THE ONE RULE THIS LOOP STILL NEEDS:</t>
  </si>
  <si>
    <t xml:space="preserve">  The exam bank is split in half by content hash, exactly as the benchmarks are.</t>
  </si>
  <si>
    <t xml:space="preserve">  The REPORT half produces the score you publish. The DIAGNOSE half is the only half step 3 may read.</t>
  </si>
  <si>
    <t xml:space="preserve">  Without that, step 4 generates training data aimed at the questions step 2 just marked, the next score goes up,</t>
  </si>
  <si>
    <t xml:space="preserve">  and the model has learned nothing. The split is what makes the before/after in step 5 mean something.</t>
  </si>
  <si>
    <t xml:space="preserve">  Note this is stronger than it sounds here: the exam is OUR OWN generated questions, so nothing external</t>
  </si>
  <si>
    <t xml:space="preserve">  protects it. The split is the only thing standing between this loop and training on its own test.</t>
  </si>
  <si>
    <t xml:space="preserve">What each counted thing is</t>
  </si>
  <si>
    <t xml:space="preserve">None of these is called an "item". They are not interchangeable.</t>
  </si>
  <si>
    <t xml:space="preserve">Term</t>
  </si>
  <si>
    <t xml:space="preserve">What exactly it is</t>
  </si>
  <si>
    <t xml:space="preserve">Roughly</t>
  </si>
  <si>
    <t xml:space="preserve">Why it matters</t>
  </si>
  <si>
    <t xml:space="preserve">topic</t>
  </si>
  <si>
    <t xml:space="preserve">0</t>
  </si>
  <si>
    <t xml:space="preserve">A human-readable subject area: economics, law, medicine, mathematics. The thing you actually want to say we are weak in.</t>
  </si>
  <si>
    <t xml:space="preserve">~15 of them</t>
  </si>
  <si>
    <t xml:space="preserve">The unit the whole loop reports and acts in.</t>
  </si>
  <si>
    <t xml:space="preserve">exam question</t>
  </si>
  <si>
    <t xml:space="preserve">One AI-written question in our own benchmark, with a reference answer and rubric. Written once, reused every cycle.</t>
  </si>
  <si>
    <t xml:space="preserve">~400 tok to draft</t>
  </si>
  <si>
    <t xml:space="preserve">Paid once per bank. Refresh occasionally, not per cycle.</t>
  </si>
  <si>
    <t xml:space="preserve">answer script</t>
  </si>
  <si>
    <t xml:space="preserve">1-2</t>
  </si>
  <si>
    <t xml:space="preserve">What ONE model wrote for ONE exam question, including the explanation we asked it for.</t>
  </si>
  <si>
    <t xml:space="preserve">~300 tok written</t>
  </si>
  <si>
    <t xml:space="preserve">Produced free on our GPU. Graded by one API call. Their count drives the judging bill.</t>
  </si>
  <si>
    <t xml:space="preserve">rubric score</t>
  </si>
  <si>
    <t xml:space="preserve">2</t>
  </si>
  <si>
    <t xml:space="preserve">The judge's mark on one answer script, per rubric dimension, plus a short written justification of the mark.</t>
  </si>
  <si>
    <t xml:space="preserve">~200 tok written</t>
  </si>
  <si>
    <t xml:space="preserve">Averaged per topic, this IS the score. The justifications are what step 3 reads.</t>
  </si>
  <si>
    <t xml:space="preserve">skill spec</t>
  </si>
  <si>
    <t xml:space="preserve">3</t>
  </si>
  <si>
    <t xml:space="preserve">One to three sentences naming what is missing in the chosen topic — not the questions. Written by summarising the judge's justifications, approved by a human.</t>
  </si>
  <si>
    <t xml:space="preserve">~120 tok</t>
  </si>
  <si>
    <t xml:space="preserve">THE AIRLOCK. The only thing the generator ever sees. No exam question crosses it.</t>
  </si>
  <si>
    <t xml:space="preserve">training document</t>
  </si>
  <si>
    <t xml:space="preserve">4</t>
  </si>
  <si>
    <t xml:space="preserve">One generated prose passage teaching the skill in the spec. A short explainer or reference text, NOT a question-and-answer pair.</t>
  </si>
  <si>
    <t xml:space="preserve">~800 tok</t>
  </si>
  <si>
    <t xml:space="preserve">The biggest line in the budget: pure generated output.</t>
  </si>
  <si>
    <t xml:space="preserve">cycle</t>
  </si>
  <si>
    <t xml:space="preserve">1-5</t>
  </si>
  <si>
    <t xml:space="preserve">One pass: sit the exam, judge it, pick a topic, generate data, fine-tune, resubmit.</t>
  </si>
  <si>
    <t xml:space="preserve">—</t>
  </si>
  <si>
    <t xml:space="preserve">The unit this workbook prices.</t>
  </si>
  <si>
    <t xml:space="preserve">API price list — transcribed from provider pricing pages</t>
  </si>
  <si>
    <t xml:space="preserve">Blue = transcribed. Batch columns are formulas: both providers state 50% off input and output.</t>
  </si>
  <si>
    <t xml:space="preserve">Checked</t>
  </si>
  <si>
    <t xml:space="preserve">2026-09-18</t>
  </si>
  <si>
    <t xml:space="preserve">Anthropic source</t>
  </si>
  <si>
    <t xml:space="preserve">https://platform.claude.com/docs/en/about-claude/pricing</t>
  </si>
  <si>
    <t xml:space="preserve">OpenAI source</t>
  </si>
  <si>
    <t xml:space="preserve">https://developers.openai.com/api/docs/pricing</t>
  </si>
  <si>
    <t xml:space="preserve">Batch discount</t>
  </si>
  <si>
    <t xml:space="preserve">Stated by both providers.</t>
  </si>
  <si>
    <t xml:space="preserve">Provider</t>
  </si>
  <si>
    <t xml:space="preserve">Model</t>
  </si>
  <si>
    <t xml:space="preserve">Input $/MTok</t>
  </si>
  <si>
    <t xml:space="preserve">Output $/MTok</t>
  </si>
  <si>
    <t xml:space="preserve">Cache read $/MTok</t>
  </si>
  <si>
    <t xml:space="preserve">Batch input $/MTok</t>
  </si>
  <si>
    <t xml:space="preserve">Batch output $/MTok</t>
  </si>
  <si>
    <t xml:space="preserve">Token factor</t>
  </si>
  <si>
    <t xml:space="preserve">Note</t>
  </si>
  <si>
    <t xml:space="preserve">Anthropic</t>
  </si>
  <si>
    <t xml:space="preserve">Claude Fable 5.1</t>
  </si>
  <si>
    <t xml:space="preserve">Flagship.</t>
  </si>
  <si>
    <t xml:space="preserve">Claude Opus 5</t>
  </si>
  <si>
    <t xml:space="preserve">Strongest reasoning at a sane price.</t>
  </si>
  <si>
    <t xml:space="preserve">Claude Sonnet 5</t>
  </si>
  <si>
    <t xml:space="preserve">$2/$10 is now standard.</t>
  </si>
  <si>
    <t xml:space="preserve">Claude Sonnet 4.6</t>
  </si>
  <si>
    <t xml:space="preserve">Older tokenizer.</t>
  </si>
  <si>
    <t xml:space="preserve">Claude Haiku 4.5</t>
  </si>
  <si>
    <t xml:space="preserve">Older tokenizer. Cheapest for bulk.</t>
  </si>
  <si>
    <t xml:space="preserve">OpenAI</t>
  </si>
  <si>
    <t xml:space="preserve">gpt-6-astra</t>
  </si>
  <si>
    <t xml:space="preserve">gpt-5.6-sol</t>
  </si>
  <si>
    <t xml:space="preserve">High-capability tier.</t>
  </si>
  <si>
    <t xml:space="preserve">gpt-5.6-terra</t>
  </si>
  <si>
    <t xml:space="preserve">Mid tier.</t>
  </si>
  <si>
    <t xml:space="preserve">gpt-5.6-luna</t>
  </si>
  <si>
    <t xml:space="preserve">Cheapest capable tier.</t>
  </si>
  <si>
    <t xml:space="preserve">gpt-5.5</t>
  </si>
  <si>
    <t xml:space="preserve">Previous flagship tier.</t>
  </si>
  <si>
    <t xml:space="preserve">gpt-5.4-mini</t>
  </si>
  <si>
    <t xml:space="preserve">Small tier.</t>
  </si>
  <si>
    <t xml:space="preserve">gpt-5-mini</t>
  </si>
  <si>
    <t xml:space="preserve">Older small tier.</t>
  </si>
  <si>
    <t xml:space="preserve">gpt-5-nano</t>
  </si>
  <si>
    <t xml:space="preserve">Cheapest listed.</t>
  </si>
  <si>
    <t xml:space="preserve">Token factor: Anthropic states Claude 4.7-and-later models use a newer tokenizer producing ~30% MORE tokens for the same text; Sonnet 4.6 and earlier use the older one. This column corrects for it so comparisons are per unit of TEXT.</t>
  </si>
  <si>
    <t xml:space="preserve">INFERRED, not stated: the docs name "4.7 and later" and "Sonnet 4.6 and earlier" without naming Sonnet 5 or Opus 5. The 1.30 factors follow from version ordering. If wrong, those two are ~23% cheaper than shown.</t>
  </si>
  <si>
    <t xml:space="preserve">OpenAI factors are 1.00 as the baseline. Neither provider states how the tokenizers compare, so cross-provider figures carry roughly +/-10% of tokenizer uncertainty.</t>
  </si>
  <si>
    <t xml:space="preserve">Batch turnaround, Anthropic (verified): most batches finish within 1 hour; results at completion or 24h, whichever first; expire at 24h. Limit 100,000 requests or 256 MB per batch. OpenAI's window not verified here.</t>
  </si>
  <si>
    <t xml:space="preserve">Prompt caching is not modelled. It stacks with batch and would only reduce these numbers — the judge's rubric is the obvious thing to cache, since it repeats on every answer script.</t>
  </si>
  <si>
    <t xml:space="preserve">Workload assumptions — edit the yellow cells</t>
  </si>
  <si>
    <t xml:space="preserve">Estimates of OUR workload, not published figures. Terms are on the Glossary sheet. Token counts are in the OLDER tokenizer; the Per cycle sheet scales them per model.</t>
  </si>
  <si>
    <t xml:space="preserve">Driver</t>
  </si>
  <si>
    <t xml:space="preserve">Value</t>
  </si>
  <si>
    <t xml:space="preserve">Unit</t>
  </si>
  <si>
    <t xml:space="preserve">What it means</t>
  </si>
  <si>
    <t xml:space="preserve">THE EXAM — shared by every step</t>
  </si>
  <si>
    <t xml:space="preserve">Topics</t>
  </si>
  <si>
    <t xml:space="preserve">topics</t>
  </si>
  <si>
    <t xml:space="preserve">Economics, law, medicine, mathematics... the categories you want the score reported in.</t>
  </si>
  <si>
    <t xml:space="preserve">Exam questions per topic</t>
  </si>
  <si>
    <t xml:space="preserve">questions</t>
  </si>
  <si>
    <t xml:space="preserve">Size of the bank per topic. Split in half: ~30 give the published score, ~30 feed step 3.</t>
  </si>
  <si>
    <t xml:space="preserve">STEP 0 — write the exam (paid once, refreshed occasionally)</t>
  </si>
  <si>
    <t xml:space="preserve">Candidates drafted per final question</t>
  </si>
  <si>
    <t xml:space="preserve">ratio</t>
  </si>
  <si>
    <t xml:space="preserve">We draft more than we keep and a human curates. 1.5 means draft 90 per topic to keep 60.</t>
  </si>
  <si>
    <t xml:space="preserve">Tokens per drafted candidate question</t>
  </si>
  <si>
    <t xml:space="preserve">tokens</t>
  </si>
  <si>
    <t xml:space="preserve">The question, a reference answer, and rubric hints.</t>
  </si>
  <si>
    <t xml:space="preserve">Candidate questions per drafting request</t>
  </si>
  <si>
    <t xml:space="preserve">How many candidates we ask for in one API call.</t>
  </si>
  <si>
    <t xml:space="preserve">Brief sent with each drafting request</t>
  </si>
  <si>
    <t xml:space="preserve">Topic description, rubric, and example questions, so drafts are on-target and varied.</t>
  </si>
  <si>
    <t xml:space="preserve">STEP 2 — judge the answers</t>
  </si>
  <si>
    <t xml:space="preserve">Models judged per cycle</t>
  </si>
  <si>
    <t xml:space="preserve">models</t>
  </si>
  <si>
    <t xml:space="preserve">Set to 2 to judge the new checkpoint and its parent together for a clean before/after.</t>
  </si>
  <si>
    <t xml:space="preserve">Tokens sent to the judge per answer script</t>
  </si>
  <si>
    <t xml:space="preserve">Rubric ~400 + question ~100 + reference answer ~150 + the model's written answer ~300 + instructions ~150.</t>
  </si>
  <si>
    <t xml:space="preserve">Tokens written by the judge per answer script</t>
  </si>
  <si>
    <t xml:space="preserve">A mark per rubric dimension plus a short written justification. The justifications are what step 3 reads.</t>
  </si>
  <si>
    <t xml:space="preserve">STEP 3 — choose the topic and write the skill spec</t>
  </si>
  <si>
    <t xml:space="preserve">Judge justifications read per cycle</t>
  </si>
  <si>
    <t xml:space="preserve">justifications</t>
  </si>
  <si>
    <t xml:space="preserve">From the chosen topic's DIAGNOSE half only. Enough to see the pattern.</t>
  </si>
  <si>
    <t xml:space="preserve">Tokens per justification read</t>
  </si>
  <si>
    <t xml:space="preserve">The judge's written reasoning on one answer script.</t>
  </si>
  <si>
    <t xml:space="preserve">Instructions sent with the summarising request</t>
  </si>
  <si>
    <t xml:space="preserve">Task description and output schema.</t>
  </si>
  <si>
    <t xml:space="preserve">Tokens written per skill spec</t>
  </si>
  <si>
    <t xml:space="preserve">The spec sentence, the patterns seen, and the share of failures it explains.</t>
  </si>
  <si>
    <t xml:space="preserve">STEP 4 — generate the dataset</t>
  </si>
  <si>
    <t xml:space="preserve">Topics improved per cycle</t>
  </si>
  <si>
    <t xml:space="preserve">You pick one topic per cycle. Raise it if you want to attack several at once.</t>
  </si>
  <si>
    <t xml:space="preserve">Training documents per topic</t>
  </si>
  <si>
    <t xml:space="preserve">documents</t>
  </si>
  <si>
    <t xml:space="preserve">How many prose passages we generate for the chosen topic. THE MAIN COST LEVER.</t>
  </si>
  <si>
    <t xml:space="preserve">Tokens per training document</t>
  </si>
  <si>
    <t xml:space="preserve">Length of one passage. 800 tokens is roughly 600 words of explainer prose.</t>
  </si>
  <si>
    <t xml:space="preserve">Training documents per API request</t>
  </si>
  <si>
    <t xml:space="preserve">How many we ask for in one call. Long outputs, so only a couple fit.</t>
  </si>
  <si>
    <t xml:space="preserve">Instructions sent with each generation request</t>
  </si>
  <si>
    <t xml:space="preserve">Format rules + the approved spec + a style constraint, repeated on every request.</t>
  </si>
  <si>
    <t xml:space="preserve">RUN RATE — used only by the 'Run rate' sheet</t>
  </si>
  <si>
    <t xml:space="preserve">Cycles per month</t>
  </si>
  <si>
    <t xml:space="preserve">cycles</t>
  </si>
  <si>
    <t xml:space="preserve">How many times a month you go round the loop.</t>
  </si>
  <si>
    <t xml:space="preserve">Token volume</t>
  </si>
  <si>
    <t xml:space="preserve">Green = pulled from Assumptions. Nothing typed in by hand.</t>
  </si>
  <si>
    <t xml:space="preserve">When</t>
  </si>
  <si>
    <t xml:space="preserve">API requests</t>
  </si>
  <si>
    <t xml:space="preserve">Input tokens</t>
  </si>
  <si>
    <t xml:space="preserve">Output tokens</t>
  </si>
  <si>
    <t xml:space="preserve">How it is derived</t>
  </si>
  <si>
    <t xml:space="preserve">Once, up front</t>
  </si>
  <si>
    <t xml:space="preserve">0 · Write the exam</t>
  </si>
  <si>
    <t xml:space="preserve">topics x questions x draft ratio = candidates; / candidates per request</t>
  </si>
  <si>
    <t xml:space="preserve">Every cycle</t>
  </si>
  <si>
    <t xml:space="preserve">2 · Judge the answers</t>
  </si>
  <si>
    <t xml:space="preserve">models x topics x questions = answer scripts, one request each</t>
  </si>
  <si>
    <t xml:space="preserve">3 · Choose topic, write the spec</t>
  </si>
  <si>
    <t xml:space="preserve">one summarising call over the chosen topic's diagnose-half justifications</t>
  </si>
  <si>
    <t xml:space="preserve">4 · Generate the dataset</t>
  </si>
  <si>
    <t xml:space="preserve">topics x documents each / documents per request</t>
  </si>
  <si>
    <t xml:space="preserve">Steps 1 and 5 run on our own GPU and appear nowhere above.</t>
  </si>
  <si>
    <t xml:space="preserve">Cost of ONE cycle — batch pricing</t>
  </si>
  <si>
    <t xml:space="preserve">A cycle is: sit the exam, judge it, pick a topic, generate the dataset. Change a model name in the yellow cells to any model on Prices, spelled exactly.</t>
  </si>
  <si>
    <t xml:space="preserve">Input tok</t>
  </si>
  <si>
    <t xml:space="preserve">Output tok</t>
  </si>
  <si>
    <t xml:space="preserve">Batch $/MTok in</t>
  </si>
  <si>
    <t xml:space="preserve">Batch $/MTok out</t>
  </si>
  <si>
    <t xml:space="preserve">Cost in</t>
  </si>
  <si>
    <t xml:space="preserve">Cost out</t>
  </si>
  <si>
    <t xml:space="preserve">BATCH TOTAL</t>
  </si>
  <si>
    <t xml:space="preserve">Standard total</t>
  </si>
  <si>
    <t xml:space="preserve">Anthropic — ONE CYCLE (steps 2 + 3 + 4)</t>
  </si>
  <si>
    <t xml:space="preserve">Anthropic — THE EXAM, paid once (step 0)</t>
  </si>
  <si>
    <t xml:space="preserve">OpenAI — ONE CYCLE (steps 2 + 3 + 4)</t>
  </si>
  <si>
    <t xml:space="preserve">OpenAI — THE EXAM, paid once (step 0)</t>
  </si>
  <si>
    <t xml:space="preserve">Cost = tokens x token factor x $/MTok / 1,000,000. The token factor corrects for Anthropic's newer tokenizer; see Prices.</t>
  </si>
  <si>
    <t xml:space="preserve">Steps 1 (sit the exam) and 5 (fine-tune) cost nothing in API — they run on our own GPU.</t>
  </si>
  <si>
    <t xml:space="preserve">The judge is a strong model on purpose. Its score lands on the board, so a cheap judge that grades confidently and wrongly costs more than it saves. Drop to a cheaper one only after the human-agreement check (Cohen's kappa) says it grades the same.</t>
  </si>
  <si>
    <t xml:space="preserve">Pin the judge's dated model ID and record it, the rubric hash and the prompt hash in provenance. A vendor silently updating the model behind an alias means last cycle's scores stop being comparable to this one's — the unpinned-transformers failure again.</t>
  </si>
  <si>
    <t xml:space="preserve">If you want a monthly figure</t>
  </si>
  <si>
    <t xml:space="preserve">Per-cycle cost from the 'Per cycle' sheet x the cadence on Assumptions.</t>
  </si>
  <si>
    <t xml:space="preserve">Cycles/mo</t>
  </si>
  <si>
    <t xml:space="preserve">Per cycle</t>
  </si>
  <si>
    <t xml:space="preserve">Per month</t>
  </si>
  <si>
    <t xml:space="preserve">The exam (once)</t>
  </si>
  <si>
    <t xml:space="preserve">First month</t>
  </si>
  <si>
    <t xml:space="preserve">12 months</t>
  </si>
  <si>
    <t xml:space="preserve">The lever that moves the bill: how much training text you generate</t>
  </si>
  <si>
    <t xml:space="preserve">Cost of step 4 for ONE cycle, at four models. Everything else is rounding error beside it.</t>
  </si>
  <si>
    <t xml:space="preserve">Scenario</t>
  </si>
  <si>
    <t xml:space="preserve">Docs per topic</t>
  </si>
  <si>
    <t xml:space="preserve">Documents</t>
  </si>
  <si>
    <t xml:space="preserve">Training tokens</t>
  </si>
  <si>
    <t xml:space="preserve">Light — a nudge</t>
  </si>
  <si>
    <t xml:space="preserve">Base (Assumptions)</t>
  </si>
  <si>
    <t xml:space="preserve">Heavy — a real top-up</t>
  </si>
  <si>
    <t xml:space="preserve">Read across a row, not down a column. At Base the model choice is worth a few dollars a cycle — not a reason to accept weaker training text. At Heavy it starts to matter.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</si>
</sst>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\$#,##0.000;&quot;($&quot;#,##0.000\);\-"/>
    <numFmt numFmtId="167" formatCode="0.00"/>
    <numFmt numFmtId="168" formatCode="#,##0.0;\(#,##0.0\);\-"/>
    <numFmt numFmtId="169" formatCode="#,##0;\(#,##0\);\-"/>
    <numFmt numFmtId="170" formatCode="\$#,##0.00;&quot;($&quot;#,##0.0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63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5" min="4" style="0" width="40"/>
    <col collapsed="false" customWidth="true" hidden="false" outlineLevel="0" max="6" min="6" style="0" width="26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4" t="s">
        <v>23</v>
      </c>
    </row>
    <row r="4" customFormat="false" ht="15" hidden="false" customHeight="fals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</row>
    <row r="5" customFormat="false" ht="31.5" hidden="false" customHeight="true" outlineLevel="0" collapsed="false">
      <c r="A5" s="6" t="n">
        <v>0</v>
      </c>
      <c r="B5" s="6" t="s">
        <v>30</v>
      </c>
      <c r="C5" s="7" t="s">
        <v>31</v>
      </c>
      <c r="D5" s="8" t="s">
        <v>32</v>
      </c>
      <c r="E5" s="8" t="s">
        <v>33</v>
      </c>
      <c r="F5" s="9" t="s">
        <v>34</v>
      </c>
    </row>
    <row r="6" customFormat="false" ht="31.5" hidden="false" customHeight="true" outlineLevel="0" collapsed="false">
      <c r="A6" s="10" t="n">
        <v>1</v>
      </c>
      <c r="B6" s="10" t="s">
        <v>35</v>
      </c>
      <c r="C6" s="11" t="s">
        <v>36</v>
      </c>
      <c r="D6" s="12" t="s">
        <v>37</v>
      </c>
      <c r="E6" s="12" t="s">
        <v>38</v>
      </c>
      <c r="F6" s="13" t="s">
        <v>39</v>
      </c>
    </row>
    <row r="7" customFormat="false" ht="31.5" hidden="false" customHeight="true" outlineLevel="0" collapsed="false">
      <c r="A7" s="14" t="n">
        <v>2</v>
      </c>
      <c r="B7" s="14" t="s">
        <v>40</v>
      </c>
      <c r="C7" s="15" t="s">
        <v>31</v>
      </c>
      <c r="D7" s="16" t="s">
        <v>41</v>
      </c>
      <c r="E7" s="16" t="s">
        <v>42</v>
      </c>
      <c r="F7" s="17" t="s">
        <v>43</v>
      </c>
    </row>
    <row r="8" customFormat="false" ht="31.5" hidden="false" customHeight="true" outlineLevel="0" collapsed="false">
      <c r="A8" s="14" t="n">
        <v>3</v>
      </c>
      <c r="B8" s="14" t="s">
        <v>44</v>
      </c>
      <c r="C8" s="15" t="s">
        <v>45</v>
      </c>
      <c r="D8" s="16" t="s">
        <v>46</v>
      </c>
      <c r="E8" s="16" t="s">
        <v>47</v>
      </c>
      <c r="F8" s="17" t="s">
        <v>48</v>
      </c>
    </row>
    <row r="9" customFormat="false" ht="31.5" hidden="false" customHeight="true" outlineLevel="0" collapsed="false">
      <c r="A9" s="14" t="n">
        <v>4</v>
      </c>
      <c r="B9" s="14" t="s">
        <v>49</v>
      </c>
      <c r="C9" s="15" t="s">
        <v>31</v>
      </c>
      <c r="D9" s="16" t="s">
        <v>50</v>
      </c>
      <c r="E9" s="16" t="s">
        <v>51</v>
      </c>
      <c r="F9" s="17" t="s">
        <v>52</v>
      </c>
    </row>
    <row r="10" customFormat="false" ht="31.5" hidden="false" customHeight="true" outlineLevel="0" collapsed="false">
      <c r="A10" s="10" t="n">
        <v>5</v>
      </c>
      <c r="B10" s="10" t="s">
        <v>53</v>
      </c>
      <c r="C10" s="11" t="s">
        <v>54</v>
      </c>
      <c r="D10" s="12" t="s">
        <v>55</v>
      </c>
      <c r="E10" s="12" t="s">
        <v>56</v>
      </c>
      <c r="F10" s="13" t="s">
        <v>39</v>
      </c>
    </row>
    <row r="11" customFormat="false" ht="31.5" hidden="false" customHeight="true" outlineLevel="0" collapsed="false">
      <c r="A11" s="14" t="s">
        <v>57</v>
      </c>
      <c r="B11" s="14" t="s">
        <v>58</v>
      </c>
      <c r="C11" s="15"/>
      <c r="D11" s="16"/>
      <c r="E11" s="16" t="s">
        <v>59</v>
      </c>
      <c r="F11" s="18"/>
    </row>
    <row r="13" customFormat="false" ht="15" hidden="false" customHeight="false" outlineLevel="0" collapsed="false">
      <c r="A13" s="3" t="s">
        <v>60</v>
      </c>
    </row>
    <row r="14" customFormat="false" ht="15" hidden="false" customHeight="false" outlineLevel="0" collapsed="false">
      <c r="A14" s="2" t="s">
        <v>61</v>
      </c>
    </row>
    <row r="15" customFormat="false" ht="15" hidden="false" customHeight="false" outlineLevel="0" collapsed="false">
      <c r="A15" s="2" t="s">
        <v>62</v>
      </c>
    </row>
    <row r="16" customFormat="false" ht="15" hidden="false" customHeight="false" outlineLevel="0" collapsed="false">
      <c r="A16" s="2" t="s">
        <v>63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64</v>
      </c>
    </row>
    <row r="19" customFormat="false" ht="15" hidden="false" customHeight="false" outlineLevel="0" collapsed="false">
      <c r="A19" s="2" t="s">
        <v>65</v>
      </c>
    </row>
    <row r="20" customFormat="false" ht="15" hidden="false" customHeight="false" outlineLevel="0" collapsed="false">
      <c r="A20" s="2" t="s">
        <v>66</v>
      </c>
    </row>
    <row r="21" customFormat="false" ht="15" hidden="false" customHeight="false" outlineLevel="0" collapsed="false">
      <c r="A21" s="2" t="s">
        <v>67</v>
      </c>
    </row>
    <row r="22" customFormat="false" ht="15" hidden="false" customHeight="false" outlineLevel="0" collapsed="false">
      <c r="A22" s="2" t="s">
        <v>68</v>
      </c>
    </row>
    <row r="23" customFormat="false" ht="15" hidden="false" customHeight="false" outlineLevel="0" collapsed="false">
      <c r="A23" s="2" t="s">
        <v>69</v>
      </c>
    </row>
    <row r="24" customFormat="false" ht="15" hidden="false" customHeight="false" outlineLevel="0" collapsed="false">
      <c r="A24" s="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4" t="s">
        <v>72</v>
      </c>
    </row>
    <row r="4" customFormat="false" ht="15" hidden="false" customHeight="false" outlineLevel="0" collapsed="false">
      <c r="A4" s="5" t="s">
        <v>73</v>
      </c>
      <c r="B4" s="5" t="s">
        <v>25</v>
      </c>
      <c r="C4" s="5" t="s">
        <v>74</v>
      </c>
      <c r="D4" s="5" t="s">
        <v>75</v>
      </c>
      <c r="E4" s="5" t="s">
        <v>76</v>
      </c>
    </row>
    <row r="5" customFormat="false" ht="54" hidden="false" customHeight="true" outlineLevel="0" collapsed="false">
      <c r="A5" s="6" t="s">
        <v>77</v>
      </c>
      <c r="B5" s="8" t="s">
        <v>78</v>
      </c>
      <c r="C5" s="7" t="s">
        <v>79</v>
      </c>
      <c r="D5" s="8" t="s">
        <v>80</v>
      </c>
      <c r="E5" s="8" t="s">
        <v>81</v>
      </c>
    </row>
    <row r="6" customFormat="false" ht="54" hidden="false" customHeight="true" outlineLevel="0" collapsed="false">
      <c r="A6" s="19" t="s">
        <v>82</v>
      </c>
      <c r="B6" s="20" t="s">
        <v>78</v>
      </c>
      <c r="C6" s="21" t="s">
        <v>83</v>
      </c>
      <c r="D6" s="20" t="s">
        <v>84</v>
      </c>
      <c r="E6" s="20" t="s">
        <v>85</v>
      </c>
    </row>
    <row r="7" customFormat="false" ht="54" hidden="false" customHeight="true" outlineLevel="0" collapsed="false">
      <c r="A7" s="6" t="s">
        <v>86</v>
      </c>
      <c r="B7" s="8" t="s">
        <v>87</v>
      </c>
      <c r="C7" s="7" t="s">
        <v>88</v>
      </c>
      <c r="D7" s="8" t="s">
        <v>89</v>
      </c>
      <c r="E7" s="8" t="s">
        <v>90</v>
      </c>
    </row>
    <row r="8" customFormat="false" ht="54" hidden="false" customHeight="true" outlineLevel="0" collapsed="false">
      <c r="A8" s="19" t="s">
        <v>91</v>
      </c>
      <c r="B8" s="20" t="s">
        <v>92</v>
      </c>
      <c r="C8" s="21" t="s">
        <v>93</v>
      </c>
      <c r="D8" s="20" t="s">
        <v>94</v>
      </c>
      <c r="E8" s="20" t="s">
        <v>95</v>
      </c>
    </row>
    <row r="9" customFormat="false" ht="54" hidden="false" customHeight="true" outlineLevel="0" collapsed="false">
      <c r="A9" s="6" t="s">
        <v>96</v>
      </c>
      <c r="B9" s="8" t="s">
        <v>97</v>
      </c>
      <c r="C9" s="7" t="s">
        <v>98</v>
      </c>
      <c r="D9" s="8" t="s">
        <v>99</v>
      </c>
      <c r="E9" s="8" t="s">
        <v>100</v>
      </c>
    </row>
    <row r="10" customFormat="false" ht="54" hidden="false" customHeight="true" outlineLevel="0" collapsed="false">
      <c r="A10" s="19" t="s">
        <v>101</v>
      </c>
      <c r="B10" s="20" t="s">
        <v>102</v>
      </c>
      <c r="C10" s="21" t="s">
        <v>103</v>
      </c>
      <c r="D10" s="20" t="s">
        <v>104</v>
      </c>
      <c r="E10" s="20" t="s">
        <v>105</v>
      </c>
    </row>
    <row r="11" customFormat="false" ht="54" hidden="false" customHeight="true" outlineLevel="0" collapsed="false">
      <c r="A11" s="6" t="s">
        <v>106</v>
      </c>
      <c r="B11" s="8" t="s">
        <v>107</v>
      </c>
      <c r="C11" s="7" t="s">
        <v>108</v>
      </c>
      <c r="D11" s="8" t="s">
        <v>109</v>
      </c>
      <c r="E11" s="8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7" min="5" style="0" width="15"/>
    <col collapsed="false" customWidth="true" hidden="false" outlineLevel="0" max="8" min="8" style="0" width="11"/>
    <col collapsed="false" customWidth="true" hidden="false" outlineLevel="0" max="9" min="9" style="0" width="58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4" t="s">
        <v>112</v>
      </c>
    </row>
    <row r="4" customFormat="false" ht="15" hidden="false" customHeight="false" outlineLevel="0" collapsed="false">
      <c r="A4" s="3" t="s">
        <v>113</v>
      </c>
      <c r="B4" s="22" t="s">
        <v>114</v>
      </c>
    </row>
    <row r="5" customFormat="false" ht="15" hidden="false" customHeight="false" outlineLevel="0" collapsed="false">
      <c r="A5" s="3" t="s">
        <v>115</v>
      </c>
      <c r="B5" s="22" t="s">
        <v>116</v>
      </c>
    </row>
    <row r="6" customFormat="false" ht="15" hidden="false" customHeight="false" outlineLevel="0" collapsed="false">
      <c r="A6" s="3" t="s">
        <v>117</v>
      </c>
      <c r="B6" s="22" t="s">
        <v>118</v>
      </c>
    </row>
    <row r="7" customFormat="false" ht="15" hidden="false" customHeight="false" outlineLevel="0" collapsed="false">
      <c r="A7" s="3" t="s">
        <v>119</v>
      </c>
      <c r="B7" s="23" t="n">
        <v>0.5</v>
      </c>
      <c r="C7" s="4" t="s">
        <v>120</v>
      </c>
    </row>
    <row r="9" customFormat="false" ht="23.85" hidden="false" customHeight="false" outlineLevel="0" collapsed="false">
      <c r="A9" s="5" t="s">
        <v>121</v>
      </c>
      <c r="B9" s="5" t="s">
        <v>122</v>
      </c>
      <c r="C9" s="5" t="s">
        <v>123</v>
      </c>
      <c r="D9" s="5" t="s">
        <v>124</v>
      </c>
      <c r="E9" s="5" t="s">
        <v>125</v>
      </c>
      <c r="F9" s="5" t="s">
        <v>126</v>
      </c>
      <c r="G9" s="5" t="s">
        <v>127</v>
      </c>
      <c r="H9" s="5" t="s">
        <v>128</v>
      </c>
      <c r="I9" s="5" t="s">
        <v>129</v>
      </c>
    </row>
    <row r="10" customFormat="false" ht="15" hidden="false" customHeight="false" outlineLevel="0" collapsed="false">
      <c r="A10" s="2" t="s">
        <v>130</v>
      </c>
      <c r="B10" s="2" t="s">
        <v>131</v>
      </c>
      <c r="C10" s="24" t="n">
        <v>10</v>
      </c>
      <c r="D10" s="24" t="n">
        <v>50</v>
      </c>
      <c r="E10" s="24" t="n">
        <v>0.25</v>
      </c>
      <c r="F10" s="25" t="n">
        <f aca="false">C10*(1-$B$7)</f>
        <v>5</v>
      </c>
      <c r="G10" s="25" t="n">
        <f aca="false">D10*(1-$B$7)</f>
        <v>25</v>
      </c>
      <c r="H10" s="26" t="n">
        <v>1.3</v>
      </c>
      <c r="I10" s="4" t="s">
        <v>132</v>
      </c>
    </row>
    <row r="11" customFormat="false" ht="15" hidden="false" customHeight="false" outlineLevel="0" collapsed="false">
      <c r="A11" s="27" t="s">
        <v>130</v>
      </c>
      <c r="B11" s="27" t="s">
        <v>133</v>
      </c>
      <c r="C11" s="28" t="n">
        <v>5</v>
      </c>
      <c r="D11" s="28" t="n">
        <v>25</v>
      </c>
      <c r="E11" s="28" t="n">
        <v>0.5</v>
      </c>
      <c r="F11" s="29" t="n">
        <f aca="false">C11*(1-$B$7)</f>
        <v>2.5</v>
      </c>
      <c r="G11" s="29" t="n">
        <f aca="false">D11*(1-$B$7)</f>
        <v>12.5</v>
      </c>
      <c r="H11" s="30" t="n">
        <v>1.3</v>
      </c>
      <c r="I11" s="31" t="s">
        <v>134</v>
      </c>
    </row>
    <row r="12" customFormat="false" ht="15" hidden="false" customHeight="false" outlineLevel="0" collapsed="false">
      <c r="A12" s="2" t="s">
        <v>130</v>
      </c>
      <c r="B12" s="2" t="s">
        <v>135</v>
      </c>
      <c r="C12" s="24" t="n">
        <v>2</v>
      </c>
      <c r="D12" s="24" t="n">
        <v>10</v>
      </c>
      <c r="E12" s="24" t="n">
        <v>0.2</v>
      </c>
      <c r="F12" s="25" t="n">
        <f aca="false">C12*(1-$B$7)</f>
        <v>1</v>
      </c>
      <c r="G12" s="25" t="n">
        <f aca="false">D12*(1-$B$7)</f>
        <v>5</v>
      </c>
      <c r="H12" s="26" t="n">
        <v>1.3</v>
      </c>
      <c r="I12" s="4" t="s">
        <v>136</v>
      </c>
    </row>
    <row r="13" customFormat="false" ht="15" hidden="false" customHeight="false" outlineLevel="0" collapsed="false">
      <c r="A13" s="27" t="s">
        <v>130</v>
      </c>
      <c r="B13" s="27" t="s">
        <v>137</v>
      </c>
      <c r="C13" s="28" t="n">
        <v>3</v>
      </c>
      <c r="D13" s="28" t="n">
        <v>15</v>
      </c>
      <c r="E13" s="28" t="n">
        <v>0.3</v>
      </c>
      <c r="F13" s="29" t="n">
        <f aca="false">C13*(1-$B$7)</f>
        <v>1.5</v>
      </c>
      <c r="G13" s="29" t="n">
        <f aca="false">D13*(1-$B$7)</f>
        <v>7.5</v>
      </c>
      <c r="H13" s="30" t="n">
        <v>1</v>
      </c>
      <c r="I13" s="31" t="s">
        <v>138</v>
      </c>
    </row>
    <row r="14" customFormat="false" ht="15" hidden="false" customHeight="false" outlineLevel="0" collapsed="false">
      <c r="A14" s="2" t="s">
        <v>130</v>
      </c>
      <c r="B14" s="2" t="s">
        <v>139</v>
      </c>
      <c r="C14" s="24" t="n">
        <v>1</v>
      </c>
      <c r="D14" s="24" t="n">
        <v>5</v>
      </c>
      <c r="E14" s="24" t="n">
        <v>0.1</v>
      </c>
      <c r="F14" s="25" t="n">
        <f aca="false">C14*(1-$B$7)</f>
        <v>0.5</v>
      </c>
      <c r="G14" s="25" t="n">
        <f aca="false">D14*(1-$B$7)</f>
        <v>2.5</v>
      </c>
      <c r="H14" s="26" t="n">
        <v>1</v>
      </c>
      <c r="I14" s="4" t="s">
        <v>140</v>
      </c>
    </row>
    <row r="15" customFormat="false" ht="15" hidden="false" customHeight="false" outlineLevel="0" collapsed="false">
      <c r="A15" s="27" t="s">
        <v>141</v>
      </c>
      <c r="B15" s="27" t="s">
        <v>142</v>
      </c>
      <c r="C15" s="28" t="n">
        <v>10</v>
      </c>
      <c r="D15" s="28" t="n">
        <v>50</v>
      </c>
      <c r="E15" s="28" t="n">
        <v>1</v>
      </c>
      <c r="F15" s="29" t="n">
        <f aca="false">C15*(1-$B$7)</f>
        <v>5</v>
      </c>
      <c r="G15" s="29" t="n">
        <f aca="false">D15*(1-$B$7)</f>
        <v>25</v>
      </c>
      <c r="H15" s="30" t="n">
        <v>1</v>
      </c>
      <c r="I15" s="31" t="s">
        <v>132</v>
      </c>
    </row>
    <row r="16" customFormat="false" ht="15" hidden="false" customHeight="false" outlineLevel="0" collapsed="false">
      <c r="A16" s="2" t="s">
        <v>141</v>
      </c>
      <c r="B16" s="2" t="s">
        <v>143</v>
      </c>
      <c r="C16" s="24" t="n">
        <v>4</v>
      </c>
      <c r="D16" s="24" t="n">
        <v>20</v>
      </c>
      <c r="E16" s="24" t="n">
        <v>0.4</v>
      </c>
      <c r="F16" s="25" t="n">
        <f aca="false">C16*(1-$B$7)</f>
        <v>2</v>
      </c>
      <c r="G16" s="25" t="n">
        <f aca="false">D16*(1-$B$7)</f>
        <v>10</v>
      </c>
      <c r="H16" s="26" t="n">
        <v>1</v>
      </c>
      <c r="I16" s="4" t="s">
        <v>144</v>
      </c>
    </row>
    <row r="17" customFormat="false" ht="15" hidden="false" customHeight="false" outlineLevel="0" collapsed="false">
      <c r="A17" s="27" t="s">
        <v>141</v>
      </c>
      <c r="B17" s="27" t="s">
        <v>145</v>
      </c>
      <c r="C17" s="28" t="n">
        <v>2</v>
      </c>
      <c r="D17" s="28" t="n">
        <v>12</v>
      </c>
      <c r="E17" s="28" t="n">
        <v>0.2</v>
      </c>
      <c r="F17" s="29" t="n">
        <f aca="false">C17*(1-$B$7)</f>
        <v>1</v>
      </c>
      <c r="G17" s="29" t="n">
        <f aca="false">D17*(1-$B$7)</f>
        <v>6</v>
      </c>
      <c r="H17" s="30" t="n">
        <v>1</v>
      </c>
      <c r="I17" s="31" t="s">
        <v>146</v>
      </c>
    </row>
    <row r="18" customFormat="false" ht="15" hidden="false" customHeight="false" outlineLevel="0" collapsed="false">
      <c r="A18" s="2" t="s">
        <v>141</v>
      </c>
      <c r="B18" s="2" t="s">
        <v>147</v>
      </c>
      <c r="C18" s="24" t="n">
        <v>0.2</v>
      </c>
      <c r="D18" s="24" t="n">
        <v>1.2</v>
      </c>
      <c r="E18" s="24" t="n">
        <v>0.02</v>
      </c>
      <c r="F18" s="25" t="n">
        <f aca="false">C18*(1-$B$7)</f>
        <v>0.1</v>
      </c>
      <c r="G18" s="25" t="n">
        <f aca="false">D18*(1-$B$7)</f>
        <v>0.6</v>
      </c>
      <c r="H18" s="26" t="n">
        <v>1</v>
      </c>
      <c r="I18" s="4" t="s">
        <v>148</v>
      </c>
    </row>
    <row r="19" customFormat="false" ht="15" hidden="false" customHeight="false" outlineLevel="0" collapsed="false">
      <c r="A19" s="27" t="s">
        <v>141</v>
      </c>
      <c r="B19" s="27" t="s">
        <v>149</v>
      </c>
      <c r="C19" s="28" t="n">
        <v>5</v>
      </c>
      <c r="D19" s="28" t="n">
        <v>30</v>
      </c>
      <c r="E19" s="28" t="n">
        <v>0.5</v>
      </c>
      <c r="F19" s="29" t="n">
        <f aca="false">C19*(1-$B$7)</f>
        <v>2.5</v>
      </c>
      <c r="G19" s="29" t="n">
        <f aca="false">D19*(1-$B$7)</f>
        <v>15</v>
      </c>
      <c r="H19" s="30" t="n">
        <v>1</v>
      </c>
      <c r="I19" s="31" t="s">
        <v>150</v>
      </c>
    </row>
    <row r="20" customFormat="false" ht="15" hidden="false" customHeight="false" outlineLevel="0" collapsed="false">
      <c r="A20" s="2" t="s">
        <v>141</v>
      </c>
      <c r="B20" s="2" t="s">
        <v>151</v>
      </c>
      <c r="C20" s="24" t="n">
        <v>0.75</v>
      </c>
      <c r="D20" s="24" t="n">
        <v>4.5</v>
      </c>
      <c r="E20" s="24" t="n">
        <v>0.075</v>
      </c>
      <c r="F20" s="25" t="n">
        <f aca="false">C20*(1-$B$7)</f>
        <v>0.375</v>
      </c>
      <c r="G20" s="25" t="n">
        <f aca="false">D20*(1-$B$7)</f>
        <v>2.25</v>
      </c>
      <c r="H20" s="26" t="n">
        <v>1</v>
      </c>
      <c r="I20" s="4" t="s">
        <v>152</v>
      </c>
    </row>
    <row r="21" customFormat="false" ht="15" hidden="false" customHeight="false" outlineLevel="0" collapsed="false">
      <c r="A21" s="27" t="s">
        <v>141</v>
      </c>
      <c r="B21" s="27" t="s">
        <v>153</v>
      </c>
      <c r="C21" s="28" t="n">
        <v>0.25</v>
      </c>
      <c r="D21" s="28" t="n">
        <v>2</v>
      </c>
      <c r="E21" s="28" t="n">
        <v>0.025</v>
      </c>
      <c r="F21" s="29" t="n">
        <f aca="false">C21*(1-$B$7)</f>
        <v>0.125</v>
      </c>
      <c r="G21" s="29" t="n">
        <f aca="false">D21*(1-$B$7)</f>
        <v>1</v>
      </c>
      <c r="H21" s="30" t="n">
        <v>1</v>
      </c>
      <c r="I21" s="31" t="s">
        <v>154</v>
      </c>
    </row>
    <row r="22" customFormat="false" ht="15" hidden="false" customHeight="false" outlineLevel="0" collapsed="false">
      <c r="A22" s="2" t="s">
        <v>141</v>
      </c>
      <c r="B22" s="2" t="s">
        <v>155</v>
      </c>
      <c r="C22" s="24" t="n">
        <v>0.05</v>
      </c>
      <c r="D22" s="24" t="n">
        <v>0.4</v>
      </c>
      <c r="E22" s="24" t="n">
        <v>0.005</v>
      </c>
      <c r="F22" s="25" t="n">
        <f aca="false">C22*(1-$B$7)</f>
        <v>0.025</v>
      </c>
      <c r="G22" s="25" t="n">
        <f aca="false">D22*(1-$B$7)</f>
        <v>0.2</v>
      </c>
      <c r="H22" s="26" t="n">
        <v>1</v>
      </c>
      <c r="I22" s="4" t="s">
        <v>156</v>
      </c>
    </row>
    <row r="24" customFormat="false" ht="15" hidden="false" customHeight="false" outlineLevel="0" collapsed="false">
      <c r="A24" s="4" t="s">
        <v>157</v>
      </c>
    </row>
    <row r="25" customFormat="false" ht="15" hidden="false" customHeight="false" outlineLevel="0" collapsed="false">
      <c r="A25" s="4" t="s">
        <v>158</v>
      </c>
    </row>
    <row r="26" customFormat="false" ht="15" hidden="false" customHeight="false" outlineLevel="0" collapsed="false">
      <c r="A26" s="4" t="s">
        <v>159</v>
      </c>
    </row>
    <row r="27" customFormat="false" ht="15" hidden="false" customHeight="false" outlineLevel="0" collapsed="false">
      <c r="A27" s="4" t="s">
        <v>160</v>
      </c>
    </row>
    <row r="28" customFormat="false" ht="15" hidden="false" customHeight="false" outlineLevel="0" collapsed="false">
      <c r="A28" s="4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4" t="s">
        <v>163</v>
      </c>
    </row>
    <row r="4" customFormat="false" ht="15" hidden="false" customHeight="false" outlineLevel="0" collapsed="false">
      <c r="A4" s="5" t="s">
        <v>164</v>
      </c>
      <c r="B4" s="5" t="s">
        <v>165</v>
      </c>
      <c r="C4" s="5" t="s">
        <v>166</v>
      </c>
      <c r="D4" s="5" t="s">
        <v>167</v>
      </c>
    </row>
    <row r="5" customFormat="false" ht="15" hidden="false" customHeight="false" outlineLevel="0" collapsed="false">
      <c r="A5" s="32" t="s">
        <v>168</v>
      </c>
      <c r="B5" s="33"/>
      <c r="C5" s="33"/>
      <c r="D5" s="33"/>
    </row>
    <row r="6" customFormat="false" ht="15" hidden="false" customHeight="false" outlineLevel="0" collapsed="false">
      <c r="A6" s="2" t="s">
        <v>169</v>
      </c>
      <c r="B6" s="34" t="n">
        <v>15</v>
      </c>
      <c r="C6" s="4" t="s">
        <v>170</v>
      </c>
      <c r="D6" s="8" t="s">
        <v>171</v>
      </c>
    </row>
    <row r="7" customFormat="false" ht="15" hidden="false" customHeight="false" outlineLevel="0" collapsed="false">
      <c r="A7" s="2" t="s">
        <v>172</v>
      </c>
      <c r="B7" s="34" t="n">
        <v>60</v>
      </c>
      <c r="C7" s="4" t="s">
        <v>173</v>
      </c>
      <c r="D7" s="8" t="s">
        <v>174</v>
      </c>
    </row>
    <row r="9" customFormat="false" ht="15" hidden="false" customHeight="false" outlineLevel="0" collapsed="false">
      <c r="A9" s="32" t="s">
        <v>175</v>
      </c>
      <c r="B9" s="33"/>
      <c r="C9" s="33"/>
      <c r="D9" s="33"/>
    </row>
    <row r="10" customFormat="false" ht="15" hidden="false" customHeight="false" outlineLevel="0" collapsed="false">
      <c r="A10" s="2" t="s">
        <v>176</v>
      </c>
      <c r="B10" s="34" t="n">
        <v>1.5</v>
      </c>
      <c r="C10" s="4" t="s">
        <v>177</v>
      </c>
      <c r="D10" s="8" t="s">
        <v>178</v>
      </c>
    </row>
    <row r="11" customFormat="false" ht="15" hidden="false" customHeight="false" outlineLevel="0" collapsed="false">
      <c r="A11" s="2" t="s">
        <v>179</v>
      </c>
      <c r="B11" s="35" t="n">
        <v>400</v>
      </c>
      <c r="C11" s="4" t="s">
        <v>180</v>
      </c>
      <c r="D11" s="8" t="s">
        <v>181</v>
      </c>
    </row>
    <row r="12" customFormat="false" ht="15" hidden="false" customHeight="false" outlineLevel="0" collapsed="false">
      <c r="A12" s="2" t="s">
        <v>182</v>
      </c>
      <c r="B12" s="34" t="n">
        <v>5</v>
      </c>
      <c r="C12" s="4" t="s">
        <v>173</v>
      </c>
      <c r="D12" s="8" t="s">
        <v>183</v>
      </c>
    </row>
    <row r="13" customFormat="false" ht="15" hidden="false" customHeight="false" outlineLevel="0" collapsed="false">
      <c r="A13" s="2" t="s">
        <v>184</v>
      </c>
      <c r="B13" s="35" t="n">
        <v>900</v>
      </c>
      <c r="C13" s="4" t="s">
        <v>180</v>
      </c>
      <c r="D13" s="8" t="s">
        <v>185</v>
      </c>
    </row>
    <row r="15" customFormat="false" ht="15" hidden="false" customHeight="false" outlineLevel="0" collapsed="false">
      <c r="A15" s="32" t="s">
        <v>186</v>
      </c>
      <c r="B15" s="33"/>
      <c r="C15" s="33"/>
      <c r="D15" s="33"/>
    </row>
    <row r="16" customFormat="false" ht="15" hidden="false" customHeight="false" outlineLevel="0" collapsed="false">
      <c r="A16" s="2" t="s">
        <v>187</v>
      </c>
      <c r="B16" s="34" t="n">
        <v>1</v>
      </c>
      <c r="C16" s="4" t="s">
        <v>188</v>
      </c>
      <c r="D16" s="8" t="s">
        <v>189</v>
      </c>
    </row>
    <row r="17" customFormat="false" ht="23.85" hidden="false" customHeight="false" outlineLevel="0" collapsed="false">
      <c r="A17" s="2" t="s">
        <v>190</v>
      </c>
      <c r="B17" s="35" t="n">
        <v>1100</v>
      </c>
      <c r="C17" s="4" t="s">
        <v>180</v>
      </c>
      <c r="D17" s="8" t="s">
        <v>191</v>
      </c>
    </row>
    <row r="18" customFormat="false" ht="23.85" hidden="false" customHeight="false" outlineLevel="0" collapsed="false">
      <c r="A18" s="2" t="s">
        <v>192</v>
      </c>
      <c r="B18" s="35" t="n">
        <v>200</v>
      </c>
      <c r="C18" s="4" t="s">
        <v>180</v>
      </c>
      <c r="D18" s="8" t="s">
        <v>193</v>
      </c>
    </row>
    <row r="20" customFormat="false" ht="15" hidden="false" customHeight="false" outlineLevel="0" collapsed="false">
      <c r="A20" s="32" t="s">
        <v>194</v>
      </c>
      <c r="B20" s="33"/>
      <c r="C20" s="33"/>
      <c r="D20" s="33"/>
    </row>
    <row r="21" customFormat="false" ht="15" hidden="false" customHeight="false" outlineLevel="0" collapsed="false">
      <c r="A21" s="2" t="s">
        <v>195</v>
      </c>
      <c r="B21" s="34" t="n">
        <v>40</v>
      </c>
      <c r="C21" s="4" t="s">
        <v>196</v>
      </c>
      <c r="D21" s="8" t="s">
        <v>197</v>
      </c>
    </row>
    <row r="22" customFormat="false" ht="15" hidden="false" customHeight="false" outlineLevel="0" collapsed="false">
      <c r="A22" s="2" t="s">
        <v>198</v>
      </c>
      <c r="B22" s="35" t="n">
        <v>250</v>
      </c>
      <c r="C22" s="4" t="s">
        <v>180</v>
      </c>
      <c r="D22" s="8" t="s">
        <v>199</v>
      </c>
    </row>
    <row r="23" customFormat="false" ht="15" hidden="false" customHeight="false" outlineLevel="0" collapsed="false">
      <c r="A23" s="2" t="s">
        <v>200</v>
      </c>
      <c r="B23" s="35" t="n">
        <v>600</v>
      </c>
      <c r="C23" s="4" t="s">
        <v>180</v>
      </c>
      <c r="D23" s="8" t="s">
        <v>201</v>
      </c>
    </row>
    <row r="24" customFormat="false" ht="15" hidden="false" customHeight="false" outlineLevel="0" collapsed="false">
      <c r="A24" s="2" t="s">
        <v>202</v>
      </c>
      <c r="B24" s="35" t="n">
        <v>500</v>
      </c>
      <c r="C24" s="4" t="s">
        <v>180</v>
      </c>
      <c r="D24" s="8" t="s">
        <v>203</v>
      </c>
    </row>
    <row r="26" customFormat="false" ht="15" hidden="false" customHeight="false" outlineLevel="0" collapsed="false">
      <c r="A26" s="32" t="s">
        <v>204</v>
      </c>
      <c r="B26" s="33"/>
      <c r="C26" s="33"/>
      <c r="D26" s="33"/>
    </row>
    <row r="27" customFormat="false" ht="15" hidden="false" customHeight="false" outlineLevel="0" collapsed="false">
      <c r="A27" s="2" t="s">
        <v>205</v>
      </c>
      <c r="B27" s="34" t="n">
        <v>1</v>
      </c>
      <c r="C27" s="4" t="s">
        <v>170</v>
      </c>
      <c r="D27" s="8" t="s">
        <v>206</v>
      </c>
    </row>
    <row r="28" customFormat="false" ht="15" hidden="false" customHeight="false" outlineLevel="0" collapsed="false">
      <c r="A28" s="2" t="s">
        <v>207</v>
      </c>
      <c r="B28" s="35" t="n">
        <v>1000</v>
      </c>
      <c r="C28" s="4" t="s">
        <v>208</v>
      </c>
      <c r="D28" s="8" t="s">
        <v>209</v>
      </c>
    </row>
    <row r="29" customFormat="false" ht="15" hidden="false" customHeight="false" outlineLevel="0" collapsed="false">
      <c r="A29" s="2" t="s">
        <v>210</v>
      </c>
      <c r="B29" s="35" t="n">
        <v>800</v>
      </c>
      <c r="C29" s="4" t="s">
        <v>180</v>
      </c>
      <c r="D29" s="8" t="s">
        <v>211</v>
      </c>
    </row>
    <row r="30" customFormat="false" ht="15" hidden="false" customHeight="false" outlineLevel="0" collapsed="false">
      <c r="A30" s="2" t="s">
        <v>212</v>
      </c>
      <c r="B30" s="34" t="n">
        <v>2</v>
      </c>
      <c r="C30" s="4" t="s">
        <v>208</v>
      </c>
      <c r="D30" s="8" t="s">
        <v>213</v>
      </c>
    </row>
    <row r="31" customFormat="false" ht="15" hidden="false" customHeight="false" outlineLevel="0" collapsed="false">
      <c r="A31" s="2" t="s">
        <v>214</v>
      </c>
      <c r="B31" s="35" t="n">
        <v>700</v>
      </c>
      <c r="C31" s="4" t="s">
        <v>180</v>
      </c>
      <c r="D31" s="8" t="s">
        <v>215</v>
      </c>
    </row>
    <row r="33" customFormat="false" ht="15" hidden="false" customHeight="false" outlineLevel="0" collapsed="false">
      <c r="A33" s="32" t="s">
        <v>216</v>
      </c>
      <c r="B33" s="33"/>
      <c r="C33" s="33"/>
      <c r="D33" s="33"/>
    </row>
    <row r="34" customFormat="false" ht="15" hidden="false" customHeight="false" outlineLevel="0" collapsed="false">
      <c r="A34" s="2" t="s">
        <v>217</v>
      </c>
      <c r="B34" s="34" t="n">
        <v>4</v>
      </c>
      <c r="C34" s="4" t="s">
        <v>218</v>
      </c>
      <c r="D34" s="8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5" min="4" style="0" width="18"/>
    <col collapsed="false" customWidth="true" hidden="false" outlineLevel="0" max="6" min="6" style="0" width="64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4" t="s">
        <v>221</v>
      </c>
    </row>
    <row r="4" customFormat="false" ht="15" hidden="false" customHeight="false" outlineLevel="0" collapsed="false">
      <c r="A4" s="5" t="s">
        <v>222</v>
      </c>
      <c r="B4" s="5" t="s">
        <v>25</v>
      </c>
      <c r="C4" s="5" t="s">
        <v>223</v>
      </c>
      <c r="D4" s="5" t="s">
        <v>224</v>
      </c>
      <c r="E4" s="5" t="s">
        <v>225</v>
      </c>
      <c r="F4" s="5" t="s">
        <v>226</v>
      </c>
    </row>
    <row r="5" customFormat="false" ht="15" hidden="false" customHeight="false" outlineLevel="0" collapsed="false">
      <c r="A5" s="3" t="s">
        <v>227</v>
      </c>
      <c r="B5" s="2" t="s">
        <v>228</v>
      </c>
      <c r="C5" s="36" t="n">
        <f aca="false">(Assumptions!$B$6*Assumptions!$B$7*Assumptions!$B$10)/Assumptions!$B$12</f>
        <v>270</v>
      </c>
      <c r="D5" s="36" t="n">
        <f aca="false">C5*Assumptions!$B$13</f>
        <v>243000</v>
      </c>
      <c r="E5" s="36" t="n">
        <f aca="false">(Assumptions!$B$6*Assumptions!$B$7*Assumptions!$B$10)*Assumptions!$B$11</f>
        <v>540000</v>
      </c>
      <c r="F5" s="4" t="s">
        <v>229</v>
      </c>
    </row>
    <row r="6" customFormat="false" ht="15" hidden="false" customHeight="false" outlineLevel="0" collapsed="false">
      <c r="A6" s="37" t="s">
        <v>230</v>
      </c>
      <c r="B6" s="27" t="s">
        <v>231</v>
      </c>
      <c r="C6" s="38" t="n">
        <f aca="false">(Assumptions!$B$16*Assumptions!$B$6*Assumptions!$B$7)</f>
        <v>900</v>
      </c>
      <c r="D6" s="38" t="n">
        <f aca="false">C6*Assumptions!$B$17</f>
        <v>990000</v>
      </c>
      <c r="E6" s="38" t="n">
        <f aca="false">C6*Assumptions!$B$18</f>
        <v>180000</v>
      </c>
      <c r="F6" s="31" t="s">
        <v>232</v>
      </c>
    </row>
    <row r="7" customFormat="false" ht="15" hidden="false" customHeight="false" outlineLevel="0" collapsed="false">
      <c r="A7" s="3" t="s">
        <v>230</v>
      </c>
      <c r="B7" s="2" t="s">
        <v>233</v>
      </c>
      <c r="C7" s="36" t="n">
        <f aca="false">1</f>
        <v>1</v>
      </c>
      <c r="D7" s="36" t="n">
        <f aca="false">Assumptions!$B$21*Assumptions!$B$22+Assumptions!$B$23</f>
        <v>10600</v>
      </c>
      <c r="E7" s="36" t="n">
        <f aca="false">Assumptions!$B$24</f>
        <v>500</v>
      </c>
      <c r="F7" s="4" t="s">
        <v>234</v>
      </c>
    </row>
    <row r="8" customFormat="false" ht="15" hidden="false" customHeight="false" outlineLevel="0" collapsed="false">
      <c r="A8" s="37" t="s">
        <v>230</v>
      </c>
      <c r="B8" s="27" t="s">
        <v>235</v>
      </c>
      <c r="C8" s="38" t="n">
        <f aca="false">(Assumptions!$B$27*Assumptions!$B$28/Assumptions!$B$30)</f>
        <v>500</v>
      </c>
      <c r="D8" s="38" t="n">
        <f aca="false">C8*Assumptions!$B$31</f>
        <v>350000</v>
      </c>
      <c r="E8" s="38" t="n">
        <f aca="false">Assumptions!$B$27*Assumptions!$B$28*Assumptions!$B$29</f>
        <v>800000</v>
      </c>
      <c r="F8" s="31" t="s">
        <v>236</v>
      </c>
    </row>
    <row r="9" customFormat="false" ht="15" hidden="false" customHeight="false" outlineLevel="0" collapsed="false">
      <c r="B9" s="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10" min="9" style="0" width="12"/>
    <col collapsed="false" customWidth="true" hidden="false" outlineLevel="0" max="12" min="11" style="0" width="15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4" t="s">
        <v>239</v>
      </c>
    </row>
    <row r="4" customFormat="false" ht="23.85" hidden="false" customHeight="false" outlineLevel="0" collapsed="false">
      <c r="A4" s="5" t="s">
        <v>222</v>
      </c>
      <c r="B4" s="5" t="s">
        <v>25</v>
      </c>
      <c r="C4" s="5" t="s">
        <v>122</v>
      </c>
      <c r="D4" s="5" t="s">
        <v>240</v>
      </c>
      <c r="E4" s="5" t="s">
        <v>241</v>
      </c>
      <c r="F4" s="5" t="s">
        <v>128</v>
      </c>
      <c r="G4" s="5" t="s">
        <v>242</v>
      </c>
      <c r="H4" s="5" t="s">
        <v>243</v>
      </c>
      <c r="I4" s="5" t="s">
        <v>244</v>
      </c>
      <c r="J4" s="5" t="s">
        <v>245</v>
      </c>
      <c r="K4" s="5" t="s">
        <v>246</v>
      </c>
      <c r="L4" s="5" t="s">
        <v>247</v>
      </c>
    </row>
    <row r="5" customFormat="false" ht="15" hidden="false" customHeight="false" outlineLevel="0" collapsed="false">
      <c r="A5" s="39" t="s">
        <v>130</v>
      </c>
    </row>
    <row r="6" customFormat="false" ht="15" hidden="false" customHeight="false" outlineLevel="0" collapsed="false">
      <c r="A6" s="4" t="s">
        <v>227</v>
      </c>
      <c r="B6" s="2" t="s">
        <v>228</v>
      </c>
      <c r="C6" s="40" t="s">
        <v>133</v>
      </c>
      <c r="D6" s="36" t="n">
        <f aca="false">Volume!D5</f>
        <v>243000</v>
      </c>
      <c r="E6" s="36" t="n">
        <f aca="false">Volume!E5</f>
        <v>540000</v>
      </c>
      <c r="F6" s="41" t="n">
        <f aca="false">INDEX(Prices!$H$10:$H$22,MATCH($C6,Prices!$B$10:$B$22,0))</f>
        <v>1.3</v>
      </c>
      <c r="G6" s="42" t="n">
        <f aca="false">INDEX(Prices!$F$10:$F$22,MATCH($C6,Prices!$B$10:$B$22,0))</f>
        <v>2.5</v>
      </c>
      <c r="H6" s="42" t="n">
        <f aca="false">INDEX(Prices!$G$10:$G$22,MATCH($C6,Prices!$B$10:$B$22,0))</f>
        <v>12.5</v>
      </c>
      <c r="I6" s="43" t="n">
        <f aca="false">D6*F6*G6/1000000</f>
        <v>0.78975</v>
      </c>
      <c r="J6" s="43" t="n">
        <f aca="false">E6*F6*H6/1000000</f>
        <v>8.775</v>
      </c>
      <c r="K6" s="44" t="n">
        <f aca="false">I6+J6</f>
        <v>9.56475</v>
      </c>
      <c r="L6" s="43" t="n">
        <f aca="false">D6*F6*INDEX(Prices!$C$10:$C$22,MATCH($C6,Prices!$B$10:$B$22,0))/1000000+E6*F6*INDEX(Prices!$D$10:$D$22,MATCH($C6,Prices!$B$10:$B$22,0))/1000000</f>
        <v>19.1295</v>
      </c>
    </row>
    <row r="7" customFormat="false" ht="15" hidden="false" customHeight="false" outlineLevel="0" collapsed="false">
      <c r="A7" s="31" t="s">
        <v>230</v>
      </c>
      <c r="B7" s="27" t="s">
        <v>231</v>
      </c>
      <c r="C7" s="45" t="s">
        <v>133</v>
      </c>
      <c r="D7" s="38" t="n">
        <f aca="false">Volume!D6</f>
        <v>990000</v>
      </c>
      <c r="E7" s="38" t="n">
        <f aca="false">Volume!E6</f>
        <v>180000</v>
      </c>
      <c r="F7" s="46" t="n">
        <f aca="false">INDEX(Prices!$H$10:$H$22,MATCH($C7,Prices!$B$10:$B$22,0))</f>
        <v>1.3</v>
      </c>
      <c r="G7" s="47" t="n">
        <f aca="false">INDEX(Prices!$F$10:$F$22,MATCH($C7,Prices!$B$10:$B$22,0))</f>
        <v>2.5</v>
      </c>
      <c r="H7" s="47" t="n">
        <f aca="false">INDEX(Prices!$G$10:$G$22,MATCH($C7,Prices!$B$10:$B$22,0))</f>
        <v>12.5</v>
      </c>
      <c r="I7" s="48" t="n">
        <f aca="false">D7*F7*G7/1000000</f>
        <v>3.2175</v>
      </c>
      <c r="J7" s="48" t="n">
        <f aca="false">E7*F7*H7/1000000</f>
        <v>2.925</v>
      </c>
      <c r="K7" s="49" t="n">
        <f aca="false">I7+J7</f>
        <v>6.1425</v>
      </c>
      <c r="L7" s="48" t="n">
        <f aca="false">D7*F7*INDEX(Prices!$C$10:$C$22,MATCH($C7,Prices!$B$10:$B$22,0))/1000000+E7*F7*INDEX(Prices!$D$10:$D$22,MATCH($C7,Prices!$B$10:$B$22,0))/1000000</f>
        <v>12.285</v>
      </c>
    </row>
    <row r="8" customFormat="false" ht="15" hidden="false" customHeight="false" outlineLevel="0" collapsed="false">
      <c r="A8" s="4" t="s">
        <v>230</v>
      </c>
      <c r="B8" s="2" t="s">
        <v>233</v>
      </c>
      <c r="C8" s="40" t="s">
        <v>133</v>
      </c>
      <c r="D8" s="36" t="n">
        <f aca="false">Volume!D7</f>
        <v>10600</v>
      </c>
      <c r="E8" s="36" t="n">
        <f aca="false">Volume!E7</f>
        <v>500</v>
      </c>
      <c r="F8" s="41" t="n">
        <f aca="false">INDEX(Prices!$H$10:$H$22,MATCH($C8,Prices!$B$10:$B$22,0))</f>
        <v>1.3</v>
      </c>
      <c r="G8" s="42" t="n">
        <f aca="false">INDEX(Prices!$F$10:$F$22,MATCH($C8,Prices!$B$10:$B$22,0))</f>
        <v>2.5</v>
      </c>
      <c r="H8" s="42" t="n">
        <f aca="false">INDEX(Prices!$G$10:$G$22,MATCH($C8,Prices!$B$10:$B$22,0))</f>
        <v>12.5</v>
      </c>
      <c r="I8" s="43" t="n">
        <f aca="false">D8*F8*G8/1000000</f>
        <v>0.03445</v>
      </c>
      <c r="J8" s="43" t="n">
        <f aca="false">E8*F8*H8/1000000</f>
        <v>0.008125</v>
      </c>
      <c r="K8" s="44" t="n">
        <f aca="false">I8+J8</f>
        <v>0.042575</v>
      </c>
      <c r="L8" s="43" t="n">
        <f aca="false">D8*F8*INDEX(Prices!$C$10:$C$22,MATCH($C8,Prices!$B$10:$B$22,0))/1000000+E8*F8*INDEX(Prices!$D$10:$D$22,MATCH($C8,Prices!$B$10:$B$22,0))/1000000</f>
        <v>0.08515</v>
      </c>
    </row>
    <row r="9" customFormat="false" ht="15" hidden="false" customHeight="false" outlineLevel="0" collapsed="false">
      <c r="A9" s="31" t="s">
        <v>230</v>
      </c>
      <c r="B9" s="27" t="s">
        <v>235</v>
      </c>
      <c r="C9" s="45" t="s">
        <v>135</v>
      </c>
      <c r="D9" s="38" t="n">
        <f aca="false">Volume!D8</f>
        <v>350000</v>
      </c>
      <c r="E9" s="38" t="n">
        <f aca="false">Volume!E8</f>
        <v>800000</v>
      </c>
      <c r="F9" s="46" t="n">
        <f aca="false">INDEX(Prices!$H$10:$H$22,MATCH($C9,Prices!$B$10:$B$22,0))</f>
        <v>1.3</v>
      </c>
      <c r="G9" s="47" t="n">
        <f aca="false">INDEX(Prices!$F$10:$F$22,MATCH($C9,Prices!$B$10:$B$22,0))</f>
        <v>1</v>
      </c>
      <c r="H9" s="47" t="n">
        <f aca="false">INDEX(Prices!$G$10:$G$22,MATCH($C9,Prices!$B$10:$B$22,0))</f>
        <v>5</v>
      </c>
      <c r="I9" s="48" t="n">
        <f aca="false">D9*F9*G9/1000000</f>
        <v>0.455</v>
      </c>
      <c r="J9" s="48" t="n">
        <f aca="false">E9*F9*H9/1000000</f>
        <v>5.2</v>
      </c>
      <c r="K9" s="49" t="n">
        <f aca="false">I9+J9</f>
        <v>5.655</v>
      </c>
      <c r="L9" s="48" t="n">
        <f aca="false">D9*F9*INDEX(Prices!$C$10:$C$22,MATCH($C9,Prices!$B$10:$B$22,0))/1000000+E9*F9*INDEX(Prices!$D$10:$D$22,MATCH($C9,Prices!$B$10:$B$22,0))/1000000</f>
        <v>11.31</v>
      </c>
    </row>
    <row r="10" customFormat="false" ht="15" hidden="false" customHeight="false" outlineLevel="0" collapsed="false">
      <c r="B10" s="3" t="s">
        <v>248</v>
      </c>
      <c r="K10" s="50" t="n">
        <f aca="false">K7+K8+K9</f>
        <v>11.840075</v>
      </c>
      <c r="L10" s="50" t="n">
        <f aca="false">L7+L8+L9</f>
        <v>23.68015</v>
      </c>
    </row>
    <row r="11" customFormat="false" ht="15" hidden="false" customHeight="false" outlineLevel="0" collapsed="false">
      <c r="B11" s="3" t="s">
        <v>249</v>
      </c>
      <c r="K11" s="50" t="n">
        <f aca="false">K6</f>
        <v>9.56475</v>
      </c>
      <c r="L11" s="50" t="n">
        <f aca="false">L6</f>
        <v>19.1295</v>
      </c>
    </row>
    <row r="13" customFormat="false" ht="15" hidden="false" customHeight="false" outlineLevel="0" collapsed="false">
      <c r="A13" s="39" t="s">
        <v>141</v>
      </c>
    </row>
    <row r="14" customFormat="false" ht="15" hidden="false" customHeight="false" outlineLevel="0" collapsed="false">
      <c r="A14" s="4" t="s">
        <v>227</v>
      </c>
      <c r="B14" s="2" t="s">
        <v>228</v>
      </c>
      <c r="C14" s="40" t="s">
        <v>143</v>
      </c>
      <c r="D14" s="36" t="n">
        <f aca="false">Volume!D5</f>
        <v>243000</v>
      </c>
      <c r="E14" s="36" t="n">
        <f aca="false">Volume!E5</f>
        <v>540000</v>
      </c>
      <c r="F14" s="41" t="n">
        <f aca="false">INDEX(Prices!$H$10:$H$22,MATCH($C14,Prices!$B$10:$B$22,0))</f>
        <v>1</v>
      </c>
      <c r="G14" s="42" t="n">
        <f aca="false">INDEX(Prices!$F$10:$F$22,MATCH($C14,Prices!$B$10:$B$22,0))</f>
        <v>2</v>
      </c>
      <c r="H14" s="42" t="n">
        <f aca="false">INDEX(Prices!$G$10:$G$22,MATCH($C14,Prices!$B$10:$B$22,0))</f>
        <v>10</v>
      </c>
      <c r="I14" s="43" t="n">
        <f aca="false">D14*F14*G14/1000000</f>
        <v>0.486</v>
      </c>
      <c r="J14" s="43" t="n">
        <f aca="false">E14*F14*H14/1000000</f>
        <v>5.4</v>
      </c>
      <c r="K14" s="44" t="n">
        <f aca="false">I14+J14</f>
        <v>5.886</v>
      </c>
      <c r="L14" s="43" t="n">
        <f aca="false">D14*F14*INDEX(Prices!$C$10:$C$22,MATCH($C14,Prices!$B$10:$B$22,0))/1000000+E14*F14*INDEX(Prices!$D$10:$D$22,MATCH($C14,Prices!$B$10:$B$22,0))/1000000</f>
        <v>11.772</v>
      </c>
    </row>
    <row r="15" customFormat="false" ht="15" hidden="false" customHeight="false" outlineLevel="0" collapsed="false">
      <c r="A15" s="31" t="s">
        <v>230</v>
      </c>
      <c r="B15" s="27" t="s">
        <v>231</v>
      </c>
      <c r="C15" s="45" t="s">
        <v>143</v>
      </c>
      <c r="D15" s="38" t="n">
        <f aca="false">Volume!D6</f>
        <v>990000</v>
      </c>
      <c r="E15" s="38" t="n">
        <f aca="false">Volume!E6</f>
        <v>180000</v>
      </c>
      <c r="F15" s="46" t="n">
        <f aca="false">INDEX(Prices!$H$10:$H$22,MATCH($C15,Prices!$B$10:$B$22,0))</f>
        <v>1</v>
      </c>
      <c r="G15" s="47" t="n">
        <f aca="false">INDEX(Prices!$F$10:$F$22,MATCH($C15,Prices!$B$10:$B$22,0))</f>
        <v>2</v>
      </c>
      <c r="H15" s="47" t="n">
        <f aca="false">INDEX(Prices!$G$10:$G$22,MATCH($C15,Prices!$B$10:$B$22,0))</f>
        <v>10</v>
      </c>
      <c r="I15" s="48" t="n">
        <f aca="false">D15*F15*G15/1000000</f>
        <v>1.98</v>
      </c>
      <c r="J15" s="48" t="n">
        <f aca="false">E15*F15*H15/1000000</f>
        <v>1.8</v>
      </c>
      <c r="K15" s="49" t="n">
        <f aca="false">I15+J15</f>
        <v>3.78</v>
      </c>
      <c r="L15" s="48" t="n">
        <f aca="false">D15*F15*INDEX(Prices!$C$10:$C$22,MATCH($C15,Prices!$B$10:$B$22,0))/1000000+E15*F15*INDEX(Prices!$D$10:$D$22,MATCH($C15,Prices!$B$10:$B$22,0))/1000000</f>
        <v>7.56</v>
      </c>
    </row>
    <row r="16" customFormat="false" ht="15" hidden="false" customHeight="false" outlineLevel="0" collapsed="false">
      <c r="A16" s="4" t="s">
        <v>230</v>
      </c>
      <c r="B16" s="2" t="s">
        <v>233</v>
      </c>
      <c r="C16" s="40" t="s">
        <v>143</v>
      </c>
      <c r="D16" s="36" t="n">
        <f aca="false">Volume!D7</f>
        <v>10600</v>
      </c>
      <c r="E16" s="36" t="n">
        <f aca="false">Volume!E7</f>
        <v>500</v>
      </c>
      <c r="F16" s="41" t="n">
        <f aca="false">INDEX(Prices!$H$10:$H$22,MATCH($C16,Prices!$B$10:$B$22,0))</f>
        <v>1</v>
      </c>
      <c r="G16" s="42" t="n">
        <f aca="false">INDEX(Prices!$F$10:$F$22,MATCH($C16,Prices!$B$10:$B$22,0))</f>
        <v>2</v>
      </c>
      <c r="H16" s="42" t="n">
        <f aca="false">INDEX(Prices!$G$10:$G$22,MATCH($C16,Prices!$B$10:$B$22,0))</f>
        <v>10</v>
      </c>
      <c r="I16" s="43" t="n">
        <f aca="false">D16*F16*G16/1000000</f>
        <v>0.0212</v>
      </c>
      <c r="J16" s="43" t="n">
        <f aca="false">E16*F16*H16/1000000</f>
        <v>0.005</v>
      </c>
      <c r="K16" s="44" t="n">
        <f aca="false">I16+J16</f>
        <v>0.0262</v>
      </c>
      <c r="L16" s="43" t="n">
        <f aca="false">D16*F16*INDEX(Prices!$C$10:$C$22,MATCH($C16,Prices!$B$10:$B$22,0))/1000000+E16*F16*INDEX(Prices!$D$10:$D$22,MATCH($C16,Prices!$B$10:$B$22,0))/1000000</f>
        <v>0.0524</v>
      </c>
    </row>
    <row r="17" customFormat="false" ht="15" hidden="false" customHeight="false" outlineLevel="0" collapsed="false">
      <c r="A17" s="31" t="s">
        <v>230</v>
      </c>
      <c r="B17" s="27" t="s">
        <v>235</v>
      </c>
      <c r="C17" s="45" t="s">
        <v>145</v>
      </c>
      <c r="D17" s="38" t="n">
        <f aca="false">Volume!D8</f>
        <v>350000</v>
      </c>
      <c r="E17" s="38" t="n">
        <f aca="false">Volume!E8</f>
        <v>800000</v>
      </c>
      <c r="F17" s="46" t="n">
        <f aca="false">INDEX(Prices!$H$10:$H$22,MATCH($C17,Prices!$B$10:$B$22,0))</f>
        <v>1</v>
      </c>
      <c r="G17" s="47" t="n">
        <f aca="false">INDEX(Prices!$F$10:$F$22,MATCH($C17,Prices!$B$10:$B$22,0))</f>
        <v>1</v>
      </c>
      <c r="H17" s="47" t="n">
        <f aca="false">INDEX(Prices!$G$10:$G$22,MATCH($C17,Prices!$B$10:$B$22,0))</f>
        <v>6</v>
      </c>
      <c r="I17" s="48" t="n">
        <f aca="false">D17*F17*G17/1000000</f>
        <v>0.35</v>
      </c>
      <c r="J17" s="48" t="n">
        <f aca="false">E17*F17*H17/1000000</f>
        <v>4.8</v>
      </c>
      <c r="K17" s="49" t="n">
        <f aca="false">I17+J17</f>
        <v>5.15</v>
      </c>
      <c r="L17" s="48" t="n">
        <f aca="false">D17*F17*INDEX(Prices!$C$10:$C$22,MATCH($C17,Prices!$B$10:$B$22,0))/1000000+E17*F17*INDEX(Prices!$D$10:$D$22,MATCH($C17,Prices!$B$10:$B$22,0))/1000000</f>
        <v>10.3</v>
      </c>
    </row>
    <row r="18" customFormat="false" ht="15" hidden="false" customHeight="false" outlineLevel="0" collapsed="false">
      <c r="B18" s="3" t="s">
        <v>250</v>
      </c>
      <c r="K18" s="50" t="n">
        <f aca="false">K15+K16+K17</f>
        <v>8.9562</v>
      </c>
      <c r="L18" s="50" t="n">
        <f aca="false">L15+L16+L17</f>
        <v>17.9124</v>
      </c>
    </row>
    <row r="19" customFormat="false" ht="15" hidden="false" customHeight="false" outlineLevel="0" collapsed="false">
      <c r="B19" s="3" t="s">
        <v>251</v>
      </c>
      <c r="K19" s="50" t="n">
        <f aca="false">K14</f>
        <v>5.886</v>
      </c>
      <c r="L19" s="50" t="n">
        <f aca="false">L14</f>
        <v>11.772</v>
      </c>
    </row>
    <row r="21" customFormat="false" ht="15" hidden="false" customHeight="false" outlineLevel="0" collapsed="false">
      <c r="B21" s="4" t="s">
        <v>252</v>
      </c>
    </row>
    <row r="22" customFormat="false" ht="15" hidden="false" customHeight="false" outlineLevel="0" collapsed="false">
      <c r="B22" s="4" t="s">
        <v>253</v>
      </c>
    </row>
    <row r="23" customFormat="false" ht="15" hidden="false" customHeight="false" outlineLevel="0" collapsed="false">
      <c r="B23" s="4" t="s">
        <v>254</v>
      </c>
    </row>
    <row r="24" customFormat="false" ht="15" hidden="false" customHeight="false" outlineLevel="0" collapsed="false">
      <c r="B24" s="4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7" min="6" style="0" width="15"/>
  </cols>
  <sheetData>
    <row r="1" customFormat="false" ht="17.35" hidden="false" customHeight="false" outlineLevel="0" collapsed="false">
      <c r="A1" s="1" t="s">
        <v>256</v>
      </c>
    </row>
    <row r="2" customFormat="false" ht="15" hidden="false" customHeight="false" outlineLevel="0" collapsed="false">
      <c r="A2" s="4" t="s">
        <v>257</v>
      </c>
    </row>
    <row r="4" customFormat="false" ht="15" hidden="false" customHeight="false" outlineLevel="0" collapsed="false">
      <c r="A4" s="5" t="s">
        <v>121</v>
      </c>
      <c r="B4" s="5" t="s">
        <v>258</v>
      </c>
      <c r="C4" s="5" t="s">
        <v>259</v>
      </c>
      <c r="D4" s="5" t="s">
        <v>260</v>
      </c>
      <c r="E4" s="5" t="s">
        <v>261</v>
      </c>
      <c r="F4" s="5" t="s">
        <v>262</v>
      </c>
      <c r="G4" s="5" t="s">
        <v>263</v>
      </c>
    </row>
    <row r="5" customFormat="false" ht="15" hidden="false" customHeight="false" outlineLevel="0" collapsed="false">
      <c r="A5" s="3" t="s">
        <v>130</v>
      </c>
      <c r="B5" s="51" t="n">
        <f aca="false">Assumptions!$B$34</f>
        <v>4</v>
      </c>
      <c r="C5" s="43" t="n">
        <f aca="false">'Per cycle'!K10</f>
        <v>11.840075</v>
      </c>
      <c r="D5" s="44" t="n">
        <f aca="false">B5*C5</f>
        <v>47.3603</v>
      </c>
      <c r="E5" s="43" t="n">
        <f aca="false">'Per cycle'!K11</f>
        <v>9.56475</v>
      </c>
      <c r="F5" s="43" t="n">
        <f aca="false">D5+E5</f>
        <v>56.92505</v>
      </c>
      <c r="G5" s="44" t="n">
        <f aca="false">12*D5+E5</f>
        <v>577.88835</v>
      </c>
    </row>
    <row r="6" customFormat="false" ht="15" hidden="false" customHeight="false" outlineLevel="0" collapsed="false">
      <c r="A6" s="3" t="s">
        <v>141</v>
      </c>
      <c r="B6" s="51" t="n">
        <f aca="false">Assumptions!$B$34</f>
        <v>4</v>
      </c>
      <c r="C6" s="43" t="n">
        <f aca="false">'Per cycle'!K18</f>
        <v>8.9562</v>
      </c>
      <c r="D6" s="44" t="n">
        <f aca="false">B6*C6</f>
        <v>35.8248</v>
      </c>
      <c r="E6" s="43" t="n">
        <f aca="false">'Per cycle'!K19</f>
        <v>5.886</v>
      </c>
      <c r="F6" s="43" t="n">
        <f aca="false">D6+E6</f>
        <v>41.7108</v>
      </c>
      <c r="G6" s="44" t="n">
        <f aca="false">12*D6+E6</f>
        <v>435.7836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7"/>
    <col collapsed="false" customWidth="true" hidden="false" outlineLevel="0" max="7" min="7" style="0" width="18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4" t="s">
        <v>265</v>
      </c>
    </row>
    <row r="4" customFormat="false" ht="15" hidden="false" customHeight="false" outlineLevel="0" collapsed="false">
      <c r="A4" s="5" t="s">
        <v>266</v>
      </c>
      <c r="B4" s="5" t="s">
        <v>267</v>
      </c>
      <c r="C4" s="5" t="s">
        <v>169</v>
      </c>
      <c r="D4" s="5" t="s">
        <v>268</v>
      </c>
      <c r="E4" s="5" t="s">
        <v>269</v>
      </c>
      <c r="F4" s="5" t="s">
        <v>135</v>
      </c>
      <c r="G4" s="5" t="s">
        <v>139</v>
      </c>
      <c r="H4" s="5" t="s">
        <v>145</v>
      </c>
      <c r="I4" s="5" t="s">
        <v>147</v>
      </c>
    </row>
    <row r="5" customFormat="false" ht="15" hidden="false" customHeight="false" outlineLevel="0" collapsed="false">
      <c r="A5" s="2" t="s">
        <v>270</v>
      </c>
      <c r="B5" s="35" t="n">
        <v>250</v>
      </c>
      <c r="C5" s="35" t="n">
        <v>1</v>
      </c>
      <c r="D5" s="52" t="n">
        <f aca="false">B5*C5</f>
        <v>250</v>
      </c>
      <c r="E5" s="52" t="n">
        <f aca="false">D5*Assumptions!$B$29</f>
        <v>200000</v>
      </c>
      <c r="F5" s="43" t="n">
        <f aca="false">E5*INDEX(Prices!$H$10:$H$22,MATCH(F$4,Prices!$B$10:$B$22,0))*INDEX(Prices!$G$10:$G$22,MATCH(F$4,Prices!$B$10:$B$22,0))/1000000+(D5/Assumptions!$B$30)*Assumptions!$B$31*INDEX(Prices!$H$10:$H$22,MATCH(F$4,Prices!$B$10:$B$22,0))*INDEX(Prices!$F$10:$F$22,MATCH(F$4,Prices!$B$10:$B$22,0))/1000000</f>
        <v>1.41375</v>
      </c>
      <c r="G5" s="43" t="n">
        <f aca="false">E5*INDEX(Prices!$H$10:$H$22,MATCH(G$4,Prices!$B$10:$B$22,0))*INDEX(Prices!$G$10:$G$22,MATCH(G$4,Prices!$B$10:$B$22,0))/1000000+(D5/Assumptions!$B$30)*Assumptions!$B$31*INDEX(Prices!$H$10:$H$22,MATCH(G$4,Prices!$B$10:$B$22,0))*INDEX(Prices!$F$10:$F$22,MATCH(G$4,Prices!$B$10:$B$22,0))/1000000</f>
        <v>0.54375</v>
      </c>
      <c r="H5" s="43" t="n">
        <f aca="false">E5*INDEX(Prices!$H$10:$H$22,MATCH(H$4,Prices!$B$10:$B$22,0))*INDEX(Prices!$G$10:$G$22,MATCH(H$4,Prices!$B$10:$B$22,0))/1000000+(D5/Assumptions!$B$30)*Assumptions!$B$31*INDEX(Prices!$H$10:$H$22,MATCH(H$4,Prices!$B$10:$B$22,0))*INDEX(Prices!$F$10:$F$22,MATCH(H$4,Prices!$B$10:$B$22,0))/1000000</f>
        <v>1.2875</v>
      </c>
      <c r="I5" s="43" t="n">
        <f aca="false">E5*INDEX(Prices!$H$10:$H$22,MATCH(I$4,Prices!$B$10:$B$22,0))*INDEX(Prices!$G$10:$G$22,MATCH(I$4,Prices!$B$10:$B$22,0))/1000000+(D5/Assumptions!$B$30)*Assumptions!$B$31*INDEX(Prices!$H$10:$H$22,MATCH(I$4,Prices!$B$10:$B$22,0))*INDEX(Prices!$F$10:$F$22,MATCH(I$4,Prices!$B$10:$B$22,0))/1000000</f>
        <v>0.12875</v>
      </c>
    </row>
    <row r="6" customFormat="false" ht="15" hidden="false" customHeight="false" outlineLevel="0" collapsed="false">
      <c r="A6" s="2" t="s">
        <v>271</v>
      </c>
      <c r="B6" s="35" t="n">
        <v>1000</v>
      </c>
      <c r="C6" s="35" t="n">
        <v>1</v>
      </c>
      <c r="D6" s="52" t="n">
        <f aca="false">B6*C6</f>
        <v>1000</v>
      </c>
      <c r="E6" s="52" t="n">
        <f aca="false">D6*Assumptions!$B$29</f>
        <v>800000</v>
      </c>
      <c r="F6" s="43" t="n">
        <f aca="false">E6*INDEX(Prices!$H$10:$H$22,MATCH(F$4,Prices!$B$10:$B$22,0))*INDEX(Prices!$G$10:$G$22,MATCH(F$4,Prices!$B$10:$B$22,0))/1000000+(D6/Assumptions!$B$30)*Assumptions!$B$31*INDEX(Prices!$H$10:$H$22,MATCH(F$4,Prices!$B$10:$B$22,0))*INDEX(Prices!$F$10:$F$22,MATCH(F$4,Prices!$B$10:$B$22,0))/1000000</f>
        <v>5.655</v>
      </c>
      <c r="G6" s="43" t="n">
        <f aca="false">E6*INDEX(Prices!$H$10:$H$22,MATCH(G$4,Prices!$B$10:$B$22,0))*INDEX(Prices!$G$10:$G$22,MATCH(G$4,Prices!$B$10:$B$22,0))/1000000+(D6/Assumptions!$B$30)*Assumptions!$B$31*INDEX(Prices!$H$10:$H$22,MATCH(G$4,Prices!$B$10:$B$22,0))*INDEX(Prices!$F$10:$F$22,MATCH(G$4,Prices!$B$10:$B$22,0))/1000000</f>
        <v>2.175</v>
      </c>
      <c r="H6" s="43" t="n">
        <f aca="false">E6*INDEX(Prices!$H$10:$H$22,MATCH(H$4,Prices!$B$10:$B$22,0))*INDEX(Prices!$G$10:$G$22,MATCH(H$4,Prices!$B$10:$B$22,0))/1000000+(D6/Assumptions!$B$30)*Assumptions!$B$31*INDEX(Prices!$H$10:$H$22,MATCH(H$4,Prices!$B$10:$B$22,0))*INDEX(Prices!$F$10:$F$22,MATCH(H$4,Prices!$B$10:$B$22,0))/1000000</f>
        <v>5.15</v>
      </c>
      <c r="I6" s="43" t="n">
        <f aca="false">E6*INDEX(Prices!$H$10:$H$22,MATCH(I$4,Prices!$B$10:$B$22,0))*INDEX(Prices!$G$10:$G$22,MATCH(I$4,Prices!$B$10:$B$22,0))/1000000+(D6/Assumptions!$B$30)*Assumptions!$B$31*INDEX(Prices!$H$10:$H$22,MATCH(I$4,Prices!$B$10:$B$22,0))*INDEX(Prices!$F$10:$F$22,MATCH(I$4,Prices!$B$10:$B$22,0))/1000000</f>
        <v>0.515</v>
      </c>
    </row>
    <row r="7" customFormat="false" ht="15" hidden="false" customHeight="false" outlineLevel="0" collapsed="false">
      <c r="A7" s="2" t="s">
        <v>272</v>
      </c>
      <c r="B7" s="35" t="n">
        <v>5000</v>
      </c>
      <c r="C7" s="35" t="n">
        <v>2</v>
      </c>
      <c r="D7" s="52" t="n">
        <f aca="false">B7*C7</f>
        <v>10000</v>
      </c>
      <c r="E7" s="52" t="n">
        <f aca="false">D7*Assumptions!$B$29</f>
        <v>8000000</v>
      </c>
      <c r="F7" s="43" t="n">
        <f aca="false">E7*INDEX(Prices!$H$10:$H$22,MATCH(F$4,Prices!$B$10:$B$22,0))*INDEX(Prices!$G$10:$G$22,MATCH(F$4,Prices!$B$10:$B$22,0))/1000000+(D7/Assumptions!$B$30)*Assumptions!$B$31*INDEX(Prices!$H$10:$H$22,MATCH(F$4,Prices!$B$10:$B$22,0))*INDEX(Prices!$F$10:$F$22,MATCH(F$4,Prices!$B$10:$B$22,0))/1000000</f>
        <v>56.55</v>
      </c>
      <c r="G7" s="43" t="n">
        <f aca="false">E7*INDEX(Prices!$H$10:$H$22,MATCH(G$4,Prices!$B$10:$B$22,0))*INDEX(Prices!$G$10:$G$22,MATCH(G$4,Prices!$B$10:$B$22,0))/1000000+(D7/Assumptions!$B$30)*Assumptions!$B$31*INDEX(Prices!$H$10:$H$22,MATCH(G$4,Prices!$B$10:$B$22,0))*INDEX(Prices!$F$10:$F$22,MATCH(G$4,Prices!$B$10:$B$22,0))/1000000</f>
        <v>21.75</v>
      </c>
      <c r="H7" s="43" t="n">
        <f aca="false">E7*INDEX(Prices!$H$10:$H$22,MATCH(H$4,Prices!$B$10:$B$22,0))*INDEX(Prices!$G$10:$G$22,MATCH(H$4,Prices!$B$10:$B$22,0))/1000000+(D7/Assumptions!$B$30)*Assumptions!$B$31*INDEX(Prices!$H$10:$H$22,MATCH(H$4,Prices!$B$10:$B$22,0))*INDEX(Prices!$F$10:$F$22,MATCH(H$4,Prices!$B$10:$B$22,0))/1000000</f>
        <v>51.5</v>
      </c>
      <c r="I7" s="43" t="n">
        <f aca="false">E7*INDEX(Prices!$H$10:$H$22,MATCH(I$4,Prices!$B$10:$B$22,0))*INDEX(Prices!$G$10:$G$22,MATCH(I$4,Prices!$B$10:$B$22,0))/1000000+(D7/Assumptions!$B$30)*Assumptions!$B$31*INDEX(Prices!$H$10:$H$22,MATCH(I$4,Prices!$B$10:$B$22,0))*INDEX(Prices!$F$10:$F$22,MATCH(I$4,Prices!$B$10:$B$22,0))/1000000</f>
        <v>5.15</v>
      </c>
    </row>
    <row r="9" customFormat="false" ht="15" hidden="false" customHeight="false" outlineLevel="0" collapsed="false">
      <c r="A9" s="4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2026-09-18T13:58:57Z</dcterms:created>
  <dc:creator>openpyxl</dc:creator>
  <dc:description/>
  <dc:language>en-US</dc:language>
  <cp:lastModifiedBy/>
  <dcterms:modified xsi:type="dcterms:W3CDTF">2026-09-18T13:58:57Z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